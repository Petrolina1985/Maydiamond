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pc\Desktop\Maydiamond\Original_File\"/>
    </mc:Choice>
  </mc:AlternateContent>
  <xr:revisionPtr revIDLastSave="0" documentId="8_{53FB1AA4-D5CA-482C-9B57-255A5329B5FE}" xr6:coauthVersionLast="47" xr6:coauthVersionMax="47" xr10:uidLastSave="{00000000-0000-0000-0000-000000000000}"/>
  <bookViews>
    <workbookView xWindow="-108" yWindow="-108" windowWidth="23256" windowHeight="12456" activeTab="4" xr2:uid="{00000000-000D-0000-FFFF-FFFF00000000}"/>
  </bookViews>
  <sheets>
    <sheet name="Raw_Data" sheetId="1" r:id="rId1"/>
    <sheet name="Questions" sheetId="2" r:id="rId2"/>
    <sheet name="Cleaned_data" sheetId="3" r:id="rId3"/>
    <sheet name="Pivot" sheetId="10" r:id="rId4"/>
    <sheet name="DASHBOARD" sheetId="11" r:id="rId5"/>
    <sheet name="Tabel" sheetId="9" r:id="rId6"/>
  </sheets>
  <definedNames>
    <definedName name="_xlnm._FilterDatabase" localSheetId="2" hidden="1">Cleaned_data!$A$1:$S$151</definedName>
    <definedName name="_xlnm._FilterDatabase" localSheetId="0" hidden="1">Raw_Data!$A$1:$R$152</definedName>
    <definedName name="_xlnm._FilterDatabase" localSheetId="5" hidden="1">Tabel!$A$1:$S$151</definedName>
    <definedName name="Slicer_Age_Group">#N/A</definedName>
    <definedName name="Slicer_Facility">#N/A</definedName>
    <definedName name="Slicer_Maternal_Age">#N/A</definedName>
    <definedName name="Slicer_State">#N/A</definedName>
  </definedNames>
  <calcPr calcId="181029"/>
  <pivotCaches>
    <pivotCache cacheId="2" r:id="rId7"/>
  </pivotCaches>
  <extLst>
    <ext xmlns:x14="http://schemas.microsoft.com/office/spreadsheetml/2009/9/main" uri="{BBE1A952-AA13-448e-AADC-164F8A28A991}">
      <x14:slicerCaches>
        <x14:slicerCache r:id="rId8"/>
        <x14:slicerCache r:id="rId9"/>
        <x14:slicerCache r:id="rId10"/>
        <x14:slicerCache r:id="rId11"/>
      </x14:slicerCaches>
    </ext>
    <ext xmlns:x14="http://schemas.microsoft.com/office/spreadsheetml/2009/9/main" uri="{79F54976-1DA5-4618-B147-4CDE4B953A38}">
      <x14:workbookPr/>
    </ext>
  </extLst>
</workbook>
</file>

<file path=xl/calcChain.xml><?xml version="1.0" encoding="utf-8"?>
<calcChain xmlns="http://schemas.openxmlformats.org/spreadsheetml/2006/main">
  <c r="G151" i="9" l="1"/>
  <c r="G150" i="9"/>
  <c r="G149" i="9"/>
  <c r="G148" i="9"/>
  <c r="G147" i="9"/>
  <c r="G146" i="9"/>
  <c r="G145" i="9"/>
  <c r="G144" i="9"/>
  <c r="G143" i="9"/>
  <c r="G142" i="9"/>
  <c r="G141" i="9"/>
  <c r="G140" i="9"/>
  <c r="G139" i="9"/>
  <c r="G138" i="9"/>
  <c r="G137" i="9"/>
  <c r="G136" i="9"/>
  <c r="G135" i="9"/>
  <c r="G134" i="9"/>
  <c r="G133" i="9"/>
  <c r="G132" i="9"/>
  <c r="G131" i="9"/>
  <c r="G130" i="9"/>
  <c r="G129" i="9"/>
  <c r="G128" i="9"/>
  <c r="G127" i="9"/>
  <c r="G126" i="9"/>
  <c r="G125" i="9"/>
  <c r="G124" i="9"/>
  <c r="G123" i="9"/>
  <c r="G122" i="9"/>
  <c r="G121" i="9"/>
  <c r="G120" i="9"/>
  <c r="G119" i="9"/>
  <c r="G118" i="9"/>
  <c r="G117" i="9"/>
  <c r="G116" i="9"/>
  <c r="G115" i="9"/>
  <c r="G114" i="9"/>
  <c r="G113" i="9"/>
  <c r="G112" i="9"/>
  <c r="G111" i="9"/>
  <c r="G110" i="9"/>
  <c r="G109" i="9"/>
  <c r="G108" i="9"/>
  <c r="G107" i="9"/>
  <c r="G106" i="9"/>
  <c r="G105" i="9"/>
  <c r="G104" i="9"/>
  <c r="G103" i="9"/>
  <c r="G102" i="9"/>
  <c r="G101" i="9"/>
  <c r="G100" i="9"/>
  <c r="G99" i="9"/>
  <c r="G98" i="9"/>
  <c r="G97" i="9"/>
  <c r="G96" i="9"/>
  <c r="G95" i="9"/>
  <c r="G94" i="9"/>
  <c r="G93" i="9"/>
  <c r="G92" i="9"/>
  <c r="G91" i="9"/>
  <c r="G90" i="9"/>
  <c r="G89" i="9"/>
  <c r="G88" i="9"/>
  <c r="G87" i="9"/>
  <c r="G86" i="9"/>
  <c r="G85" i="9"/>
  <c r="G84" i="9"/>
  <c r="G83" i="9"/>
  <c r="G82" i="9"/>
  <c r="G81" i="9"/>
  <c r="G80" i="9"/>
  <c r="G79" i="9"/>
  <c r="G78" i="9"/>
  <c r="G77" i="9"/>
  <c r="G76" i="9"/>
  <c r="G75" i="9"/>
  <c r="G74" i="9"/>
  <c r="G73" i="9"/>
  <c r="G72" i="9"/>
  <c r="G71" i="9"/>
  <c r="G70" i="9"/>
  <c r="G69" i="9"/>
  <c r="G68" i="9"/>
  <c r="G67" i="9"/>
  <c r="G66" i="9"/>
  <c r="G65" i="9"/>
  <c r="G64" i="9"/>
  <c r="G63" i="9"/>
  <c r="G62" i="9"/>
  <c r="G61" i="9"/>
  <c r="G60" i="9"/>
  <c r="G59" i="9"/>
  <c r="G58" i="9"/>
  <c r="G57" i="9"/>
  <c r="G56" i="9"/>
  <c r="G55" i="9"/>
  <c r="G54" i="9"/>
  <c r="G53" i="9"/>
  <c r="G52" i="9"/>
  <c r="G51" i="9"/>
  <c r="G50" i="9"/>
  <c r="G49" i="9"/>
  <c r="G48" i="9"/>
  <c r="G47" i="9"/>
  <c r="G46" i="9"/>
  <c r="G45" i="9"/>
  <c r="G44" i="9"/>
  <c r="G43" i="9"/>
  <c r="G42" i="9"/>
  <c r="G41" i="9"/>
  <c r="G40" i="9"/>
  <c r="G39" i="9"/>
  <c r="G38" i="9"/>
  <c r="G37" i="9"/>
  <c r="G36" i="9"/>
  <c r="G35" i="9"/>
  <c r="G34" i="9"/>
  <c r="G33" i="9"/>
  <c r="G32" i="9"/>
  <c r="G31" i="9"/>
  <c r="G30" i="9"/>
  <c r="G29" i="9"/>
  <c r="G28" i="9"/>
  <c r="G27" i="9"/>
  <c r="G26" i="9"/>
  <c r="G25" i="9"/>
  <c r="G24" i="9"/>
  <c r="G23" i="9"/>
  <c r="G22" i="9"/>
  <c r="G21" i="9"/>
  <c r="G20" i="9"/>
  <c r="G19" i="9"/>
  <c r="G18" i="9"/>
  <c r="G17" i="9"/>
  <c r="G16" i="9"/>
  <c r="G15" i="9"/>
  <c r="G14" i="9"/>
  <c r="G13" i="9"/>
  <c r="G12" i="9"/>
  <c r="G11" i="9"/>
  <c r="G10" i="9"/>
  <c r="G9" i="9"/>
  <c r="G8" i="9"/>
  <c r="G7" i="9"/>
  <c r="G6" i="9"/>
  <c r="G5" i="9"/>
  <c r="G4" i="9"/>
  <c r="G3" i="9"/>
  <c r="G2" i="9"/>
  <c r="G3" i="3"/>
  <c r="G4" i="3"/>
  <c r="G5" i="3"/>
  <c r="G6" i="3"/>
  <c r="G7" i="3"/>
  <c r="G8" i="3"/>
  <c r="G9" i="3"/>
  <c r="G10" i="3"/>
  <c r="G11" i="3"/>
  <c r="G12" i="3"/>
  <c r="G13" i="3"/>
  <c r="G14" i="3"/>
  <c r="G15" i="3"/>
  <c r="G16" i="3"/>
  <c r="G17" i="3"/>
  <c r="G18" i="3"/>
  <c r="G19" i="3"/>
  <c r="G20" i="3"/>
  <c r="G21" i="3"/>
  <c r="G22" i="3"/>
  <c r="G23" i="3"/>
  <c r="G24" i="3"/>
  <c r="G25" i="3"/>
  <c r="G26" i="3"/>
  <c r="G27" i="3"/>
  <c r="G28" i="3"/>
  <c r="G29" i="3"/>
  <c r="G30" i="3"/>
  <c r="G31" i="3"/>
  <c r="G32" i="3"/>
  <c r="G33" i="3"/>
  <c r="G34" i="3"/>
  <c r="G35" i="3"/>
  <c r="G36" i="3"/>
  <c r="G37" i="3"/>
  <c r="G38" i="3"/>
  <c r="G39" i="3"/>
  <c r="G40" i="3"/>
  <c r="G41" i="3"/>
  <c r="G42" i="3"/>
  <c r="G43" i="3"/>
  <c r="G44" i="3"/>
  <c r="G45" i="3"/>
  <c r="G46" i="3"/>
  <c r="G47" i="3"/>
  <c r="G48" i="3"/>
  <c r="G49" i="3"/>
  <c r="G50" i="3"/>
  <c r="G51" i="3"/>
  <c r="G52" i="3"/>
  <c r="G53" i="3"/>
  <c r="G54" i="3"/>
  <c r="G55" i="3"/>
  <c r="G56" i="3"/>
  <c r="G57" i="3"/>
  <c r="G58" i="3"/>
  <c r="G59" i="3"/>
  <c r="G60" i="3"/>
  <c r="G61" i="3"/>
  <c r="G62" i="3"/>
  <c r="G63" i="3"/>
  <c r="G64" i="3"/>
  <c r="G65" i="3"/>
  <c r="G66" i="3"/>
  <c r="G67" i="3"/>
  <c r="G68" i="3"/>
  <c r="G69" i="3"/>
  <c r="G70" i="3"/>
  <c r="G71" i="3"/>
  <c r="G72" i="3"/>
  <c r="G73" i="3"/>
  <c r="G74" i="3"/>
  <c r="G75" i="3"/>
  <c r="G76" i="3"/>
  <c r="G77" i="3"/>
  <c r="G78" i="3"/>
  <c r="G79" i="3"/>
  <c r="G80" i="3"/>
  <c r="G81" i="3"/>
  <c r="G82" i="3"/>
  <c r="G83" i="3"/>
  <c r="G84" i="3"/>
  <c r="G85" i="3"/>
  <c r="G86" i="3"/>
  <c r="G87" i="3"/>
  <c r="G88" i="3"/>
  <c r="G89" i="3"/>
  <c r="G90" i="3"/>
  <c r="G91" i="3"/>
  <c r="G92" i="3"/>
  <c r="G93" i="3"/>
  <c r="G94" i="3"/>
  <c r="G95" i="3"/>
  <c r="G96" i="3"/>
  <c r="G97" i="3"/>
  <c r="G98" i="3"/>
  <c r="G99" i="3"/>
  <c r="G100" i="3"/>
  <c r="G101" i="3"/>
  <c r="G102" i="3"/>
  <c r="G103" i="3"/>
  <c r="G104" i="3"/>
  <c r="G105" i="3"/>
  <c r="G106" i="3"/>
  <c r="G107" i="3"/>
  <c r="G108" i="3"/>
  <c r="G109" i="3"/>
  <c r="G110" i="3"/>
  <c r="G111" i="3"/>
  <c r="G112" i="3"/>
  <c r="G113" i="3"/>
  <c r="G114" i="3"/>
  <c r="G115" i="3"/>
  <c r="G116" i="3"/>
  <c r="G117" i="3"/>
  <c r="G118" i="3"/>
  <c r="G119" i="3"/>
  <c r="G120" i="3"/>
  <c r="G121" i="3"/>
  <c r="G122" i="3"/>
  <c r="G123" i="3"/>
  <c r="G124" i="3"/>
  <c r="G125" i="3"/>
  <c r="G126" i="3"/>
  <c r="G127" i="3"/>
  <c r="G128" i="3"/>
  <c r="G129" i="3"/>
  <c r="G130" i="3"/>
  <c r="G131" i="3"/>
  <c r="G132" i="3"/>
  <c r="G133" i="3"/>
  <c r="G134" i="3"/>
  <c r="G135" i="3"/>
  <c r="G136" i="3"/>
  <c r="G137" i="3"/>
  <c r="G138" i="3"/>
  <c r="G139" i="3"/>
  <c r="G140" i="3"/>
  <c r="G141" i="3"/>
  <c r="G142" i="3"/>
  <c r="G143" i="3"/>
  <c r="G144" i="3"/>
  <c r="G145" i="3"/>
  <c r="G146" i="3"/>
  <c r="G147" i="3"/>
  <c r="G148" i="3"/>
  <c r="G149" i="3"/>
  <c r="G150" i="3"/>
  <c r="G151" i="3"/>
  <c r="G2" i="3"/>
</calcChain>
</file>

<file path=xl/sharedStrings.xml><?xml version="1.0" encoding="utf-8"?>
<sst xmlns="http://schemas.openxmlformats.org/spreadsheetml/2006/main" count="4882" uniqueCount="417">
  <si>
    <t>Record_ID</t>
  </si>
  <si>
    <t>Delivery_Date</t>
  </si>
  <si>
    <t>State</t>
  </si>
  <si>
    <t>LGA</t>
  </si>
  <si>
    <t>Facility</t>
  </si>
  <si>
    <t>Maternal_Age</t>
  </si>
  <si>
    <t>Gravidity</t>
  </si>
  <si>
    <t>Parity</t>
  </si>
  <si>
    <t>ANC_Visits</t>
  </si>
  <si>
    <t>Delivery_Mode</t>
  </si>
  <si>
    <t>Birth_Outcome</t>
  </si>
  <si>
    <t>Birth_Weight_Kg</t>
  </si>
  <si>
    <t>Maternal_Complication</t>
  </si>
  <si>
    <t>Maternal_Death</t>
  </si>
  <si>
    <t>Delivery_Cost_NGN</t>
  </si>
  <si>
    <t>Length_of_Stay_Days</t>
  </si>
  <si>
    <t>Referral</t>
  </si>
  <si>
    <t>ANC_Attended</t>
  </si>
  <si>
    <t>MH-0001</t>
  </si>
  <si>
    <t>Anambra</t>
  </si>
  <si>
    <t>Awka South</t>
  </si>
  <si>
    <t>St. Mary Hospital</t>
  </si>
  <si>
    <t>Vaginal</t>
  </si>
  <si>
    <t>Live Birth</t>
  </si>
  <si>
    <t>None</t>
  </si>
  <si>
    <t>No</t>
  </si>
  <si>
    <t>Yes</t>
  </si>
  <si>
    <t>MH-0002</t>
  </si>
  <si>
    <t>Ebonyi</t>
  </si>
  <si>
    <t>Ezza South</t>
  </si>
  <si>
    <t>Peace Medical Centre</t>
  </si>
  <si>
    <t>VAGINAL</t>
  </si>
  <si>
    <t>MH-0003</t>
  </si>
  <si>
    <t>Mother &amp; Child Clinic</t>
  </si>
  <si>
    <t>MH-0004</t>
  </si>
  <si>
    <t>Abia</t>
  </si>
  <si>
    <t>Ohafia</t>
  </si>
  <si>
    <t>General Hospital</t>
  </si>
  <si>
    <t>Caesarean Section</t>
  </si>
  <si>
    <t>MH-0005</t>
  </si>
  <si>
    <t>Umuahia North</t>
  </si>
  <si>
    <t>vaginal</t>
  </si>
  <si>
    <t>Stillbirth</t>
  </si>
  <si>
    <t>Pre eclampsia</t>
  </si>
  <si>
    <t>MH-0006</t>
  </si>
  <si>
    <t>Aba South</t>
  </si>
  <si>
    <t xml:space="preserve">No </t>
  </si>
  <si>
    <t>MH-0007</t>
  </si>
  <si>
    <t>IMO</t>
  </si>
  <si>
    <t>Orlu</t>
  </si>
  <si>
    <t>Postpartum Hemorrhage</t>
  </si>
  <si>
    <t>MH-0008</t>
  </si>
  <si>
    <t>Enugu</t>
  </si>
  <si>
    <t xml:space="preserve"> Enugu South </t>
  </si>
  <si>
    <t>Divine Grace Hospital</t>
  </si>
  <si>
    <t>Neonatal Death</t>
  </si>
  <si>
    <t>MH-0009</t>
  </si>
  <si>
    <t>Onitsha South</t>
  </si>
  <si>
    <t>MH-0010</t>
  </si>
  <si>
    <t>Imo</t>
  </si>
  <si>
    <t>Okigwe</t>
  </si>
  <si>
    <t>caesarean section</t>
  </si>
  <si>
    <t>MH-0011</t>
  </si>
  <si>
    <t>MH-0012</t>
  </si>
  <si>
    <t>Udi</t>
  </si>
  <si>
    <t>yes</t>
  </si>
  <si>
    <t>MH-0013</t>
  </si>
  <si>
    <t>MH-0014</t>
  </si>
  <si>
    <t xml:space="preserve"> Enugu North </t>
  </si>
  <si>
    <t>MH-0015</t>
  </si>
  <si>
    <t>Abakaliki</t>
  </si>
  <si>
    <t>MH-0016</t>
  </si>
  <si>
    <t>Nnewi North</t>
  </si>
  <si>
    <t>MH-0017</t>
  </si>
  <si>
    <t>Owerri West</t>
  </si>
  <si>
    <t>Federal Medical Centre</t>
  </si>
  <si>
    <t>MH-0018</t>
  </si>
  <si>
    <t>MH-0019</t>
  </si>
  <si>
    <t>Afikpo North</t>
  </si>
  <si>
    <t>MH-0020</t>
  </si>
  <si>
    <t>Gestational Diabetes</t>
  </si>
  <si>
    <t>MH-0021</t>
  </si>
  <si>
    <t xml:space="preserve"> Okigwe </t>
  </si>
  <si>
    <t xml:space="preserve">Vaginal </t>
  </si>
  <si>
    <t>MH-0022</t>
  </si>
  <si>
    <t>ANAMBRA</t>
  </si>
  <si>
    <t>MH-0023</t>
  </si>
  <si>
    <t>Nsukka</t>
  </si>
  <si>
    <t>Eclampsia</t>
  </si>
  <si>
    <t>MH-0024</t>
  </si>
  <si>
    <t>MH-0025</t>
  </si>
  <si>
    <t>Owerri Municipal</t>
  </si>
  <si>
    <t>MH-0026</t>
  </si>
  <si>
    <t xml:space="preserve"> Owerri West </t>
  </si>
  <si>
    <t>Pre-eclampsia</t>
  </si>
  <si>
    <t>MH-0027</t>
  </si>
  <si>
    <t>Idemili North</t>
  </si>
  <si>
    <t>MH-0028</t>
  </si>
  <si>
    <t>MH-0029</t>
  </si>
  <si>
    <t>none</t>
  </si>
  <si>
    <t>MH-0030</t>
  </si>
  <si>
    <t>MH-0031</t>
  </si>
  <si>
    <t>Prolonged Labour</t>
  </si>
  <si>
    <t>MH-0032</t>
  </si>
  <si>
    <t>EBONYI</t>
  </si>
  <si>
    <t>MH-0033</t>
  </si>
  <si>
    <t>MH-0034</t>
  </si>
  <si>
    <t>MH-0035</t>
  </si>
  <si>
    <t>MH-0036</t>
  </si>
  <si>
    <t xml:space="preserve"> Abakaliki </t>
  </si>
  <si>
    <t>MH-0037</t>
  </si>
  <si>
    <t>Enugu South</t>
  </si>
  <si>
    <t>MH-0038</t>
  </si>
  <si>
    <t>ENUGU</t>
  </si>
  <si>
    <t>MH-0039</t>
  </si>
  <si>
    <t>C/S</t>
  </si>
  <si>
    <t>MH-0040</t>
  </si>
  <si>
    <t>MH-0041</t>
  </si>
  <si>
    <t>MH-0042</t>
  </si>
  <si>
    <t>MH-0043</t>
  </si>
  <si>
    <t>MH-0044</t>
  </si>
  <si>
    <t>Isiala Ngwa North</t>
  </si>
  <si>
    <t>MH-0045</t>
  </si>
  <si>
    <t>MH-0046</t>
  </si>
  <si>
    <t>Ohaukwu</t>
  </si>
  <si>
    <t>MH-0047</t>
  </si>
  <si>
    <t>MH-0048</t>
  </si>
  <si>
    <t>MH-0049</t>
  </si>
  <si>
    <t>MH-0050</t>
  </si>
  <si>
    <t>Enugu North</t>
  </si>
  <si>
    <t>MH-0051</t>
  </si>
  <si>
    <t>MH-0052</t>
  </si>
  <si>
    <t>MH-0053</t>
  </si>
  <si>
    <t>MH-0054</t>
  </si>
  <si>
    <t>MH-0055</t>
  </si>
  <si>
    <t>MH-0056</t>
  </si>
  <si>
    <t>MH-0057</t>
  </si>
  <si>
    <t>MH-0058</t>
  </si>
  <si>
    <t xml:space="preserve"> Udi </t>
  </si>
  <si>
    <t>MH-0059</t>
  </si>
  <si>
    <t>MH-0060</t>
  </si>
  <si>
    <t>MH-0061</t>
  </si>
  <si>
    <t xml:space="preserve"> Awka South </t>
  </si>
  <si>
    <t>MH-0062</t>
  </si>
  <si>
    <t>Post partum hemorrhage</t>
  </si>
  <si>
    <t>MH-0063</t>
  </si>
  <si>
    <t>MH-0064</t>
  </si>
  <si>
    <t>MH-0065</t>
  </si>
  <si>
    <t>MH-0066</t>
  </si>
  <si>
    <t>MH-0067</t>
  </si>
  <si>
    <t>MH-0068</t>
  </si>
  <si>
    <t>MH-0069</t>
  </si>
  <si>
    <t>MH-0070</t>
  </si>
  <si>
    <t>MH-0071</t>
  </si>
  <si>
    <t>MH-0072</t>
  </si>
  <si>
    <t>MH-0073</t>
  </si>
  <si>
    <t>MH-0074</t>
  </si>
  <si>
    <t>MH-0075</t>
  </si>
  <si>
    <t>MH-0076</t>
  </si>
  <si>
    <t>MH-0077</t>
  </si>
  <si>
    <t>MH-0078</t>
  </si>
  <si>
    <t>MH-0079</t>
  </si>
  <si>
    <t>MH-0080</t>
  </si>
  <si>
    <t>MH-0081</t>
  </si>
  <si>
    <t>MH-0082</t>
  </si>
  <si>
    <t xml:space="preserve"> Afikpo North </t>
  </si>
  <si>
    <t>MH-0083</t>
  </si>
  <si>
    <t>MH-0084</t>
  </si>
  <si>
    <t>MH-0085</t>
  </si>
  <si>
    <t>MH-0086</t>
  </si>
  <si>
    <t xml:space="preserve"> Orlu </t>
  </si>
  <si>
    <t>Infection</t>
  </si>
  <si>
    <t>MH-0087</t>
  </si>
  <si>
    <t>MH-0088</t>
  </si>
  <si>
    <t>MH-0089</t>
  </si>
  <si>
    <t>MH-0090</t>
  </si>
  <si>
    <t>ABIA</t>
  </si>
  <si>
    <t>MH-0091</t>
  </si>
  <si>
    <t>MH-0092</t>
  </si>
  <si>
    <t>MH-0093</t>
  </si>
  <si>
    <t>MH-0094</t>
  </si>
  <si>
    <t>MH-0095</t>
  </si>
  <si>
    <t>MH-0096</t>
  </si>
  <si>
    <t>MH-0097</t>
  </si>
  <si>
    <t>MH-0098</t>
  </si>
  <si>
    <t>MH-0099</t>
  </si>
  <si>
    <t xml:space="preserve"> Ezza South </t>
  </si>
  <si>
    <t>MH-0100</t>
  </si>
  <si>
    <t>YES</t>
  </si>
  <si>
    <t>MH-0101</t>
  </si>
  <si>
    <t>MH-0102</t>
  </si>
  <si>
    <t xml:space="preserve"> Isiala Ngwa North </t>
  </si>
  <si>
    <t>MH-0103</t>
  </si>
  <si>
    <t>MH-0104</t>
  </si>
  <si>
    <t>MH-0105</t>
  </si>
  <si>
    <t>MH-0106</t>
  </si>
  <si>
    <t>MH-0107</t>
  </si>
  <si>
    <t>MH-0108</t>
  </si>
  <si>
    <t>MH-0109</t>
  </si>
  <si>
    <t>MH-0110</t>
  </si>
  <si>
    <t>MH-0111</t>
  </si>
  <si>
    <t>MH-0112</t>
  </si>
  <si>
    <t>MH-0113</t>
  </si>
  <si>
    <t>MH-0114</t>
  </si>
  <si>
    <t>MH-0115</t>
  </si>
  <si>
    <t>MH-0116</t>
  </si>
  <si>
    <t>MH-0117</t>
  </si>
  <si>
    <t>MH-0118</t>
  </si>
  <si>
    <t>MH-0119</t>
  </si>
  <si>
    <t>MH-0120</t>
  </si>
  <si>
    <t>MH-0121</t>
  </si>
  <si>
    <t>MH-0122</t>
  </si>
  <si>
    <t>MH-0123</t>
  </si>
  <si>
    <t>MH-0124</t>
  </si>
  <si>
    <t>MH-0125</t>
  </si>
  <si>
    <t>MH-0126</t>
  </si>
  <si>
    <t>MH-0127</t>
  </si>
  <si>
    <t>MH-0128</t>
  </si>
  <si>
    <t>MH-0129</t>
  </si>
  <si>
    <t xml:space="preserve"> Owerri Municipal </t>
  </si>
  <si>
    <t>MH-0130</t>
  </si>
  <si>
    <t>MH-0131</t>
  </si>
  <si>
    <t>MH-0132</t>
  </si>
  <si>
    <t>NONE</t>
  </si>
  <si>
    <t>MH-0133</t>
  </si>
  <si>
    <t>MH-0134</t>
  </si>
  <si>
    <t>MH-0135</t>
  </si>
  <si>
    <t>NO</t>
  </si>
  <si>
    <t>MH-0136</t>
  </si>
  <si>
    <t>MH-0137</t>
  </si>
  <si>
    <t>MH-0138</t>
  </si>
  <si>
    <t>MH-0139</t>
  </si>
  <si>
    <t>MH-0140</t>
  </si>
  <si>
    <t>MH-0141</t>
  </si>
  <si>
    <t>MH-0142</t>
  </si>
  <si>
    <t>MH-0143</t>
  </si>
  <si>
    <t>MH-0144</t>
  </si>
  <si>
    <t>MH-0145</t>
  </si>
  <si>
    <t>MH-0146</t>
  </si>
  <si>
    <t>MH-0147</t>
  </si>
  <si>
    <t>MH-0148</t>
  </si>
  <si>
    <t>MH-0149</t>
  </si>
  <si>
    <t>MH-0150</t>
  </si>
  <si>
    <t>Data understanding</t>
  </si>
  <si>
    <t>Before touching anything, tell me:</t>
  </si>
  <si>
    <t>What is this dataset about?</t>
  </si>
  <si>
    <t>What does each column represent?</t>
  </si>
  <si>
    <t>Which columns are categorical?</t>
  </si>
  <si>
    <t>Which are numerical?</t>
  </si>
  <si>
    <t>Which should be dates?</t>
  </si>
  <si>
    <t>What questions could this dataset answer?</t>
  </si>
  <si>
    <t>2. Data cleaning</t>
  </si>
  <si>
    <t>Find and deal with the problems yourself.</t>
  </si>
  <si>
    <t>Look for:</t>
  </si>
  <si>
    <t>Missing values</t>
  </si>
  <si>
    <t>Duplicate records</t>
  </si>
  <si>
    <t>Inconsistent capitalization</t>
  </si>
  <si>
    <t>Extra spaces</t>
  </si>
  <si>
    <t>Inconsistent spellings</t>
  </si>
  <si>
    <t>Inconsistent date formats</t>
  </si>
  <si>
    <t>Inconsistent categories</t>
  </si>
  <si>
    <t>Suspicious numerical values</t>
  </si>
  <si>
    <r>
      <t xml:space="preserve">Values that require </t>
    </r>
    <r>
      <rPr>
        <b/>
        <sz val="11"/>
        <color theme="1"/>
        <rFont val="Calibri"/>
        <family val="2"/>
        <scheme val="minor"/>
      </rPr>
      <t>investigation rather than automatic correction</t>
    </r>
  </si>
  <si>
    <r>
      <t>Important:</t>
    </r>
    <r>
      <rPr>
        <sz val="11"/>
        <color theme="1"/>
        <rFont val="Calibri"/>
        <family val="2"/>
        <scheme val="minor"/>
      </rPr>
      <t xml:space="preserve"> Don't simply delete anything because it looks strange. Think like an analyst.</t>
    </r>
  </si>
  <si>
    <t>3. Create derived columns</t>
  </si>
  <si>
    <t>I want you to decide what additional columns would be useful.</t>
  </si>
  <si>
    <t>For example, you might consider:</t>
  </si>
  <si>
    <t>Age Group</t>
  </si>
  <si>
    <t>Cost Category</t>
  </si>
  <si>
    <t>ANC Category</t>
  </si>
  <si>
    <t>High-Risk Pregnancy indicator</t>
  </si>
  <si>
    <t>perhaps another indicator you think is professionally useful</t>
  </si>
  <si>
    <t>Don't create columns just because you can. Give every derived column a reason.</t>
  </si>
  <si>
    <t>4. Pivot-table analysis</t>
  </si>
  <si>
    <t>Build several PivotTables that answer meaningful questions.</t>
  </si>
  <si>
    <t>For example:</t>
  </si>
  <si>
    <t>Number of deliveries by state</t>
  </si>
  <si>
    <t>Deliveries by facility</t>
  </si>
  <si>
    <t>Delivery mode distribution</t>
  </si>
  <si>
    <t>Birth outcomes</t>
  </si>
  <si>
    <t>Maternal complications</t>
  </si>
  <si>
    <t>Average delivery cost by delivery mode</t>
  </si>
  <si>
    <t>Average length of stay</t>
  </si>
  <si>
    <t>ANC attendance</t>
  </si>
  <si>
    <t>Maternal deaths</t>
  </si>
  <si>
    <t>Referral patterns</t>
  </si>
  <si>
    <t>Any other questions you discover</t>
  </si>
  <si>
    <t>5. Dashboard</t>
  </si>
  <si>
    <t>If you feel ready, create a dashboard.</t>
  </si>
  <si>
    <t>Think about:</t>
  </si>
  <si>
    <t>KPIs → Charts → Filters/Slicers → Story</t>
  </si>
  <si>
    <r>
      <t xml:space="preserve">Don't just make a beautiful dashboard. Make one that </t>
    </r>
    <r>
      <rPr>
        <b/>
        <sz val="11"/>
        <color theme="1"/>
        <rFont val="Calibri"/>
        <family val="2"/>
        <scheme val="minor"/>
      </rPr>
      <t>answers questions</t>
    </r>
    <r>
      <rPr>
        <sz val="11"/>
        <color theme="1"/>
        <rFont val="Calibri"/>
        <family val="2"/>
        <scheme val="minor"/>
      </rPr>
      <t>.</t>
    </r>
  </si>
  <si>
    <t>6. Final interpretation</t>
  </si>
  <si>
    <t>This is the part I particularly want to see from you.</t>
  </si>
  <si>
    <r>
      <t xml:space="preserve">Write </t>
    </r>
    <r>
      <rPr>
        <b/>
        <sz val="11"/>
        <color theme="1"/>
        <rFont val="Calibri"/>
        <family val="2"/>
        <scheme val="minor"/>
      </rPr>
      <t>5–10 findings</t>
    </r>
    <r>
      <rPr>
        <sz val="11"/>
        <color theme="1"/>
        <rFont val="Calibri"/>
        <family val="2"/>
        <scheme val="minor"/>
      </rPr>
      <t xml:space="preserve"> from your analysis.</t>
    </r>
  </si>
  <si>
    <t>Not:</t>
  </si>
  <si>
    <t>"Anambra has 35 records."</t>
  </si>
  <si>
    <t>But something like:</t>
  </si>
  <si>
    <t>"Anambra recorded the highest number of deliveries in the dataset, suggesting that facilities in the state contributed the largest share of observed deliveries."</t>
  </si>
  <si>
    <t>Then ask yourself:</t>
  </si>
  <si>
    <t>"So what?"</t>
  </si>
  <si>
    <r>
      <t xml:space="preserve">That is where you begin moving from </t>
    </r>
    <r>
      <rPr>
        <i/>
        <sz val="11"/>
        <color theme="1"/>
        <rFont val="Calibri"/>
        <family val="2"/>
        <scheme val="minor"/>
      </rPr>
      <t>Excel user</t>
    </r>
    <r>
      <rPr>
        <sz val="11"/>
        <color theme="1"/>
        <rFont val="Calibri"/>
        <family val="2"/>
        <scheme val="minor"/>
      </rPr>
      <t xml:space="preserve"> toward </t>
    </r>
    <r>
      <rPr>
        <i/>
        <sz val="11"/>
        <color theme="1"/>
        <rFont val="Calibri"/>
        <family val="2"/>
        <scheme val="minor"/>
      </rPr>
      <t>data analyst</t>
    </r>
    <r>
      <rPr>
        <sz val="11"/>
        <color theme="1"/>
        <rFont val="Calibri"/>
        <family val="2"/>
        <scheme val="minor"/>
      </rPr>
      <t>.</t>
    </r>
  </si>
  <si>
    <t>🧪 And here is the real test</t>
  </si>
  <si>
    <t>Do NOT ask me what is wrong with the dataset before you start.</t>
  </si>
  <si>
    <t>I deliberately planted different types of problems in it.</t>
  </si>
  <si>
    <t>I want you to come back and say something like:</t>
  </si>
  <si>
    <t>"Professor, I found 7 missing-value problems, 4 date-format problems, 3 suspicious numerical values, 1 duplicate, and these inconsistent categories..."</t>
  </si>
  <si>
    <r>
      <t xml:space="preserve">Then </t>
    </r>
    <r>
      <rPr>
        <b/>
        <sz val="11"/>
        <color theme="1"/>
        <rFont val="Calibri"/>
        <family val="2"/>
        <scheme val="minor"/>
      </rPr>
      <t>I will grade your work</t>
    </r>
    <r>
      <rPr>
        <sz val="11"/>
        <color theme="1"/>
        <rFont val="Calibri"/>
        <family val="2"/>
        <scheme val="minor"/>
      </rPr>
      <t>.</t>
    </r>
  </si>
  <si>
    <t>I'll rate you separately on:</t>
  </si>
  <si>
    <t>Data Cleaning — /10</t>
  </si>
  <si>
    <t>Data Understanding — /10</t>
  </si>
  <si>
    <t>Analysis — /10</t>
  </si>
  <si>
    <t>Excel/PivotTable Skills — /10</t>
  </si>
  <si>
    <t>Data Visualization — /10</t>
  </si>
  <si>
    <t>Business/Health Interpretation — /10</t>
  </si>
  <si>
    <t>Professional Analyst Thinking — /10</t>
  </si>
  <si>
    <r>
      <t xml:space="preserve">And I'll give you an overall score out of </t>
    </r>
    <r>
      <rPr>
        <b/>
        <sz val="11"/>
        <color theme="1"/>
        <rFont val="Calibri"/>
        <family val="2"/>
        <scheme val="minor"/>
      </rPr>
      <t>100</t>
    </r>
    <r>
      <rPr>
        <sz val="11"/>
        <color theme="1"/>
        <rFont val="Calibri"/>
        <family val="2"/>
        <scheme val="minor"/>
      </rPr>
      <t xml:space="preserve">, including an honest assessment of whether your work is beginning to look </t>
    </r>
    <r>
      <rPr>
        <b/>
        <sz val="11"/>
        <color theme="1"/>
        <rFont val="Calibri"/>
        <family val="2"/>
        <scheme val="minor"/>
      </rPr>
      <t>professional</t>
    </r>
    <r>
      <rPr>
        <sz val="11"/>
        <color theme="1"/>
        <rFont val="Calibri"/>
        <family val="2"/>
        <scheme val="minor"/>
      </rPr>
      <t>.</t>
    </r>
  </si>
  <si>
    <r>
      <t xml:space="preserve">One more thing: </t>
    </r>
    <r>
      <rPr>
        <b/>
        <sz val="11"/>
        <color theme="1"/>
        <rFont val="Calibri"/>
        <family val="2"/>
        <scheme val="minor"/>
      </rPr>
      <t>I know you are not perfect yet. That's not the objective.</t>
    </r>
    <r>
      <rPr>
        <sz val="11"/>
        <color theme="1"/>
        <rFont val="Calibri"/>
        <family val="2"/>
        <scheme val="minor"/>
      </rPr>
      <t xml:space="preserve"> The objective is to see whether you can now look at a messy dataset and independently figure out </t>
    </r>
    <r>
      <rPr>
        <i/>
        <sz val="11"/>
        <color theme="1"/>
        <rFont val="Calibri"/>
        <family val="2"/>
        <scheme val="minor"/>
      </rPr>
      <t>what needs to be done and why</t>
    </r>
    <r>
      <rPr>
        <sz val="11"/>
        <color theme="1"/>
        <rFont val="Calibri"/>
        <family val="2"/>
        <scheme val="minor"/>
      </rPr>
      <t xml:space="preserve">. That's a much better measure of your progress than whether you remember every Excel formula. </t>
    </r>
  </si>
  <si>
    <t>Maternal_Health_Messy_Test_Dataset.xlsxSpreadsheetOpen file</t>
  </si>
  <si>
    <t>Maternal_Health_Messy_Test_Dataset.csvSpreadsheetOpen file</t>
  </si>
  <si>
    <t>LEVEL 1 — Basic PivotTable questions</t>
  </si>
  <si>
    <t>Start with these first.</t>
  </si>
  <si>
    <t>1. How many deliveries were recorded in total?</t>
  </si>
  <si>
    <t>2. How many deliveries occurred in each State?</t>
  </si>
  <si>
    <t>3. How many deliveries occurred in each LGA?</t>
  </si>
  <si>
    <t>4. How many deliveries occurred at each Facility?</t>
  </si>
  <si>
    <t>5. How many mothers had Vaginal delivery versus Caesarean Section?</t>
  </si>
  <si>
    <t>6. How many Live Births, Stillbirths and Neonatal Deaths were recorded?</t>
  </si>
  <si>
    <t>7. How many mothers were referred, and how many were not referred?</t>
  </si>
  <si>
    <t>8. How many mothers attended ANC and how many did not?</t>
  </si>
  <si>
    <t>9. How many cases of each maternal complication were recorded?</t>
  </si>
  <si>
    <t>10. How many maternal deaths were recorded?</t>
  </si>
  <si>
    <t>🟡 LEVEL 2 — Start thinking like an analyst</t>
  </si>
  <si>
    <r>
      <t xml:space="preserve">Now don't just count records. Start using </t>
    </r>
    <r>
      <rPr>
        <b/>
        <sz val="11"/>
        <color theme="1"/>
        <rFont val="Calibri"/>
        <family val="2"/>
        <scheme val="minor"/>
      </rPr>
      <t>Sum, Average and comparison</t>
    </r>
    <r>
      <rPr>
        <sz val="11"/>
        <color theme="1"/>
        <rFont val="Calibri"/>
        <family val="2"/>
        <scheme val="minor"/>
      </rPr>
      <t>.</t>
    </r>
  </si>
  <si>
    <t>11. What is the average maternal age by State?</t>
  </si>
  <si>
    <t>12. What is the average maternal age by Delivery Mode?</t>
  </si>
  <si>
    <t>13. What is the average number of ANC visits by State?</t>
  </si>
  <si>
    <t>14. What is the average birth weight by Delivery Mode?</t>
  </si>
  <si>
    <t>15. What is the average delivery cost for Vaginal deliveries versus Caesarean Sections?</t>
  </si>
  <si>
    <t>16. What is the average length of hospital stay by Delivery Mode?</t>
  </si>
  <si>
    <t>17. What is the total delivery cost incurred by each State?</t>
  </si>
  <si>
    <t>18. What is the total delivery cost incurred by each Facility?</t>
  </si>
  <si>
    <t>19. Which Facility recorded the highest number of deliveries?</t>
  </si>
  <si>
    <t>20. Which State recorded the highest total delivery cost?</t>
  </si>
  <si>
    <t>🟠 LEVEL 3 — Relationships</t>
  </si>
  <si>
    <t>This is where I really want to see your progress.</t>
  </si>
  <si>
    <r>
      <t xml:space="preserve">Try answering these using </t>
    </r>
    <r>
      <rPr>
        <b/>
        <sz val="11"/>
        <color theme="1"/>
        <rFont val="Calibri"/>
        <family val="2"/>
        <scheme val="minor"/>
      </rPr>
      <t>Rows + Columns + Values</t>
    </r>
    <r>
      <rPr>
        <sz val="11"/>
        <color theme="1"/>
        <rFont val="Calibri"/>
        <family val="2"/>
        <scheme val="minor"/>
      </rPr>
      <t xml:space="preserve"> in your PivotTables.</t>
    </r>
  </si>
  <si>
    <t>21. How many Vaginal and Caesarean deliveries occurred in each State?</t>
  </si>
  <si>
    <t>22. How many Live Births, Stillbirths and Neonatal Deaths occurred in each State?</t>
  </si>
  <si>
    <t>23. What maternal complications were recorded in each State?</t>
  </si>
  <si>
    <t>24. What maternal complications were associated with each Delivery Mode?</t>
  </si>
  <si>
    <t>25. How many referrals occurred in each State?</t>
  </si>
  <si>
    <t>26. How many referred mothers were delivered by Caesarean Section versus Vaginal delivery?</t>
  </si>
  <si>
    <t>27. How does ANC attendance differ by State?</t>
  </si>
  <si>
    <t>28. What is the relationship between Delivery Mode and Length of Stay?</t>
  </si>
  <si>
    <t>29. What is the relationship between Delivery Mode and Delivery Cost?</t>
  </si>
  <si>
    <t>30. Which Facility has the highest average delivery cost?</t>
  </si>
  <si>
    <t>🔴 LEVEL 4 — Challenge yourself</t>
  </si>
  <si>
    <t>These are the questions I would particularly like you to attempt.</t>
  </si>
  <si>
    <t>31. Which State recorded the highest number of maternal complications?</t>
  </si>
  <si>
    <t>32. Which Facility recorded the highest number of Caesarean Sections?</t>
  </si>
  <si>
    <t>33. Which State recorded the highest number of Stillbirths?</t>
  </si>
  <si>
    <t>34. Which Facility recorded the highest number of Neonatal Deaths?</t>
  </si>
  <si>
    <t>35. Which Delivery Mode has the higher average length of stay?</t>
  </si>
  <si>
    <t>36. Which Delivery Mode has the higher average delivery cost?</t>
  </si>
  <si>
    <t>37. Which State has the highest average ANC visits?</t>
  </si>
  <si>
    <t>38. Which State has the highest average birth weight?</t>
  </si>
  <si>
    <t>39. Which maternal complication occurs most frequently?</t>
  </si>
  <si>
    <t>40. Among mothers who were referred, which Delivery Mode was most common?</t>
  </si>
  <si>
    <t>🧠 LEVEL 5 — Your analyst challenge</t>
  </si>
  <si>
    <t>Now I don't want you merely answering the questions.</t>
  </si>
  <si>
    <r>
      <t xml:space="preserve">I want you to </t>
    </r>
    <r>
      <rPr>
        <b/>
        <sz val="11"/>
        <color theme="1"/>
        <rFont val="Calibri"/>
        <family val="2"/>
        <scheme val="minor"/>
      </rPr>
      <t>discover something that I didn't ask you about.</t>
    </r>
  </si>
  <si>
    <t>After completing the questions above, examine your PivotTables and ask:</t>
  </si>
  <si>
    <t>"What interesting pattern can I see that the client didn't specifically ask for?"</t>
  </si>
  <si>
    <r>
      <t xml:space="preserve">Find </t>
    </r>
    <r>
      <rPr>
        <b/>
        <sz val="11"/>
        <color theme="1"/>
        <rFont val="Calibri"/>
        <family val="2"/>
        <scheme val="minor"/>
      </rPr>
      <t>at least 3 insights</t>
    </r>
    <r>
      <rPr>
        <sz val="11"/>
        <color theme="1"/>
        <rFont val="Calibri"/>
        <family val="2"/>
        <scheme val="minor"/>
      </rPr>
      <t>.</t>
    </r>
  </si>
  <si>
    <t>For example, you might discover:</t>
  </si>
  <si>
    <t>"Caesarean deliveries account for a smaller proportion of deliveries but have substantially higher average delivery costs and longer hospital stays."</t>
  </si>
  <si>
    <r>
      <t xml:space="preserve">That is </t>
    </r>
    <r>
      <rPr>
        <b/>
        <sz val="11"/>
        <color theme="1"/>
        <rFont val="Calibri"/>
        <family val="2"/>
        <scheme val="minor"/>
      </rPr>
      <t>analysis</t>
    </r>
    <r>
      <rPr>
        <sz val="11"/>
        <color theme="1"/>
        <rFont val="Calibri"/>
        <family val="2"/>
        <scheme val="minor"/>
      </rPr>
      <t>.</t>
    </r>
  </si>
  <si>
    <t>You're no longer saying:</t>
  </si>
  <si>
    <t>"There were 45 Caesarean deliveries."</t>
  </si>
  <si>
    <t>You're saying:</t>
  </si>
  <si>
    <t>"What does that number mean?"</t>
  </si>
  <si>
    <t>⭐ Your assignment</t>
  </si>
  <si>
    <r>
      <t xml:space="preserve">Don't create </t>
    </r>
    <r>
      <rPr>
        <b/>
        <sz val="11"/>
        <color theme="1"/>
        <rFont val="Calibri"/>
        <family val="2"/>
        <scheme val="minor"/>
      </rPr>
      <t>40 separate PivotTables</t>
    </r>
    <r>
      <rPr>
        <sz val="11"/>
        <color theme="1"/>
        <rFont val="Calibri"/>
        <family val="2"/>
        <scheme val="minor"/>
      </rPr>
      <t xml:space="preserve"> 😂.</t>
    </r>
  </si>
  <si>
    <t>Group related questions together.</t>
  </si>
  <si>
    <t>PivotTable 1 — Geographic distribution</t>
  </si>
  <si>
    <t>PivotTable 2 — Delivery patterns</t>
  </si>
  <si>
    <t>Delivery Mode</t>
  </si>
  <si>
    <t>PivotTable 3 — Birth outcomes</t>
  </si>
  <si>
    <t>Birth Outcome</t>
  </si>
  <si>
    <t>PivotTable 4 — Maternal complications</t>
  </si>
  <si>
    <t>Complication</t>
  </si>
  <si>
    <t>PivotTable 5 — Cost &amp; hospital stay</t>
  </si>
  <si>
    <t>Average Cost</t>
  </si>
  <si>
    <t>Average Length of Stay</t>
  </si>
  <si>
    <t>PivotTable 6 — ANC &amp; referral</t>
  </si>
  <si>
    <t>ANC Attendance</t>
  </si>
  <si>
    <t>And then use the PivotTables to answer the questions.</t>
  </si>
  <si>
    <t>One rule from Professor Max:</t>
  </si>
  <si>
    <t>Don't look for the answer first and then build a PivotTable to justify it.</t>
  </si>
  <si>
    <r>
      <t xml:space="preserve">Build the PivotTable → observe the numbers → ask </t>
    </r>
    <r>
      <rPr>
        <b/>
        <sz val="11"/>
        <color theme="1"/>
        <rFont val="Calibri"/>
        <family val="2"/>
        <scheme val="minor"/>
      </rPr>
      <t>why</t>
    </r>
    <r>
      <rPr>
        <sz val="11"/>
        <color theme="1"/>
        <rFont val="Calibri"/>
        <family val="2"/>
        <scheme val="minor"/>
      </rPr>
      <t xml:space="preserve"> → formulate the insight.</t>
    </r>
  </si>
  <si>
    <t>That habit will take you much further than simply becoming very good at Excel. 📊</t>
  </si>
  <si>
    <t>Age_Group</t>
  </si>
  <si>
    <t>Grand Total</t>
  </si>
  <si>
    <t>Dalivery_Mode</t>
  </si>
  <si>
    <t>Count of Record_ID</t>
  </si>
  <si>
    <t>18-24</t>
  </si>
  <si>
    <t>25-29</t>
  </si>
  <si>
    <t>30-34</t>
  </si>
  <si>
    <t>35-40</t>
  </si>
  <si>
    <t>40-45</t>
  </si>
  <si>
    <t>45+</t>
  </si>
  <si>
    <t>Column Labels</t>
  </si>
  <si>
    <t>Sum of Delivery_Cost_NGN</t>
  </si>
  <si>
    <t>Count of Referral</t>
  </si>
  <si>
    <t>Sum of ANC_Visits</t>
  </si>
  <si>
    <t>facility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</si>
</sst>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hh:mm:ss"/>
  </numFmts>
  <fonts count="8" x14ac:knownFonts="1">
    <font>
      <sz val="11"/>
      <color theme="1"/>
      <name val="Calibri"/>
      <family val="2"/>
      <scheme val="minor"/>
    </font>
    <font>
      <b/>
      <sz val="11"/>
      <name val="Calibri"/>
    </font>
    <font>
      <b/>
      <sz val="11"/>
      <color theme="1"/>
      <name val="Calibri"/>
      <family val="2"/>
      <scheme val="minor"/>
    </font>
    <font>
      <b/>
      <sz val="12"/>
      <color theme="1"/>
      <name val="Calibri"/>
      <family val="2"/>
      <scheme val="minor"/>
    </font>
    <font>
      <i/>
      <sz val="11"/>
      <color theme="1"/>
      <name val="Calibri"/>
      <family val="2"/>
      <scheme val="minor"/>
    </font>
    <font>
      <b/>
      <sz val="13.5"/>
      <color theme="1"/>
      <name val="Calibri"/>
      <family val="2"/>
      <scheme val="minor"/>
    </font>
    <font>
      <b/>
      <sz val="18"/>
      <color theme="1"/>
      <name val="Calibri"/>
      <family val="2"/>
      <scheme val="minor"/>
    </font>
    <font>
      <b/>
      <sz val="24"/>
      <color theme="1"/>
      <name val="Calibri"/>
      <family val="2"/>
      <scheme val="minor"/>
    </font>
  </fonts>
  <fills count="2">
    <fill>
      <patternFill patternType="none"/>
    </fill>
    <fill>
      <patternFill patternType="gray125"/>
    </fill>
  </fills>
  <borders count="3">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style="thin">
        <color auto="1"/>
      </bottom>
      <diagonal/>
    </border>
  </borders>
  <cellStyleXfs count="1">
    <xf numFmtId="0" fontId="0" fillId="0" borderId="0"/>
  </cellStyleXfs>
  <cellXfs count="18">
    <xf numFmtId="0" fontId="0" fillId="0" borderId="0" xfId="0"/>
    <xf numFmtId="0" fontId="1" fillId="0" borderId="1" xfId="0" applyFont="1" applyBorder="1" applyAlignment="1">
      <alignment horizontal="center" vertical="top"/>
    </xf>
    <xf numFmtId="164" fontId="0" fillId="0" borderId="0" xfId="0" applyNumberFormat="1"/>
    <xf numFmtId="0" fontId="3" fillId="0" borderId="0" xfId="0" applyFont="1" applyAlignment="1">
      <alignment vertical="center"/>
    </xf>
    <xf numFmtId="0" fontId="0" fillId="0" borderId="0" xfId="0" applyAlignment="1">
      <alignment horizontal="left" vertical="center" indent="1"/>
    </xf>
    <xf numFmtId="0" fontId="2" fillId="0" borderId="0" xfId="0" applyFont="1"/>
    <xf numFmtId="0" fontId="5" fillId="0" borderId="0" xfId="0" applyFont="1" applyAlignment="1">
      <alignment vertical="center"/>
    </xf>
    <xf numFmtId="0" fontId="2" fillId="0" borderId="0" xfId="0" applyFont="1" applyAlignment="1">
      <alignment horizontal="left" vertical="center" indent="1"/>
    </xf>
    <xf numFmtId="14" fontId="1" fillId="0" borderId="1" xfId="0" applyNumberFormat="1" applyFont="1" applyBorder="1" applyAlignment="1">
      <alignment horizontal="center" vertical="top"/>
    </xf>
    <xf numFmtId="14" fontId="0" fillId="0" borderId="0" xfId="0" applyNumberFormat="1"/>
    <xf numFmtId="0" fontId="6" fillId="0" borderId="0" xfId="0" applyFont="1" applyAlignment="1">
      <alignment vertical="center"/>
    </xf>
    <xf numFmtId="0" fontId="7" fillId="0" borderId="0" xfId="0" applyFont="1" applyAlignment="1">
      <alignment vertical="center"/>
    </xf>
    <xf numFmtId="0" fontId="0" fillId="0" borderId="0" xfId="0" applyAlignment="1">
      <alignment horizontal="right"/>
    </xf>
    <xf numFmtId="0" fontId="1" fillId="0" borderId="2" xfId="0" applyFont="1" applyBorder="1" applyAlignment="1">
      <alignment horizontal="center" vertical="top"/>
    </xf>
    <xf numFmtId="14" fontId="1" fillId="0" borderId="2" xfId="0" applyNumberFormat="1" applyFont="1" applyBorder="1" applyAlignment="1">
      <alignment horizontal="center" vertical="top"/>
    </xf>
    <xf numFmtId="0" fontId="0" fillId="0" borderId="0" xfId="0" pivotButton="1"/>
    <xf numFmtId="0" fontId="0" fillId="0" borderId="0" xfId="0" applyAlignment="1">
      <alignment horizontal="left"/>
    </xf>
    <xf numFmtId="0" fontId="0" fillId="0" borderId="0" xfId="0" applyNumberFormat="1"/>
  </cellXfs>
  <cellStyles count="1">
    <cellStyle name="Normal" xfId="0" builtinId="0"/>
  </cellStyles>
  <dxfs count="5">
    <dxf>
      <alignment horizontal="right" vertical="bottom" textRotation="0" wrapText="0" indent="0" justifyLastLine="0" shrinkToFit="0" readingOrder="0"/>
    </dxf>
    <dxf>
      <numFmt numFmtId="19" formatCode="m/d/yyyy"/>
    </dxf>
    <dxf>
      <border outline="0">
        <top style="thin">
          <color auto="1"/>
        </top>
      </border>
    </dxf>
    <dxf>
      <border outline="0">
        <bottom style="thin">
          <color auto="1"/>
        </bottom>
      </border>
    </dxf>
    <dxf>
      <font>
        <b/>
        <i val="0"/>
        <strike val="0"/>
        <condense val="0"/>
        <extend val="0"/>
        <outline val="0"/>
        <shadow val="0"/>
        <u val="none"/>
        <vertAlign val="baseline"/>
        <sz val="11"/>
        <color auto="1"/>
        <name val="Calibri"/>
        <scheme val="none"/>
      </font>
      <alignment horizontal="center" vertical="top" textRotation="0" wrapText="0" indent="0" justifyLastLine="0" shrinkToFit="0" readingOrder="0"/>
      <border diagonalUp="0" diagonalDown="0" outline="0">
        <left style="thin">
          <color auto="1"/>
        </left>
        <right style="thin">
          <color auto="1"/>
        </right>
        <top/>
        <bottom/>
      </border>
    </dxf>
  </dxfs>
  <tableStyles count="0" defaultTableStyle="TableStyleMedium9" defaultPivotStyle="PivotStyleLight16"/>
  <colors>
    <mruColors>
      <color rgb="FF00FF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4.xml"/><Relationship Id="rId5" Type="http://schemas.openxmlformats.org/officeDocument/2006/relationships/worksheet" Target="worksheets/sheet5.xml"/><Relationship Id="rId15" Type="http://schemas.openxmlformats.org/officeDocument/2006/relationships/calcChain" Target="calcChain.xml"/><Relationship Id="rId10" Type="http://schemas.microsoft.com/office/2007/relationships/slicerCache" Target="slicerCaches/slicerCache3.xml"/><Relationship Id="rId4" Type="http://schemas.openxmlformats.org/officeDocument/2006/relationships/worksheet" Target="worksheets/sheet4.xml"/><Relationship Id="rId9" Type="http://schemas.microsoft.com/office/2007/relationships/slicerCache" Target="slicerCaches/slicerCache2.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[GPT MATERNAL_HEALTH.xlsx]Pivot!PivotTable4</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tx1">
                    <a:lumMod val="95000"/>
                    <a:lumOff val="5000"/>
                  </a:schemeClr>
                </a:solidFill>
              </a:rPr>
              <a:t>COUNT OF DELIVERY MODE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s>
    <c:plotArea>
      <c:layout/>
      <c:pieChart>
        <c:varyColors val="1"/>
        <c:ser>
          <c:idx val="0"/>
          <c:order val="0"/>
          <c:tx>
            <c:strRef>
              <c:f>Pivot!$B$3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AA5D-4E2C-9A01-C4A1C7A144DF}"/>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AA5D-4E2C-9A01-C4A1C7A144DF}"/>
              </c:ext>
            </c:extLst>
          </c:dPt>
          <c:cat>
            <c:strRef>
              <c:f>Pivot!$A$4:$A$6</c:f>
              <c:strCache>
                <c:ptCount val="2"/>
                <c:pt idx="0">
                  <c:v>Caesarean Section</c:v>
                </c:pt>
                <c:pt idx="1">
                  <c:v>Vaginal</c:v>
                </c:pt>
              </c:strCache>
            </c:strRef>
          </c:cat>
          <c:val>
            <c:numRef>
              <c:f>Pivot!$B$4:$B$6</c:f>
              <c:numCache>
                <c:formatCode>General</c:formatCode>
                <c:ptCount val="2"/>
                <c:pt idx="0">
                  <c:v>47</c:v>
                </c:pt>
                <c:pt idx="1">
                  <c:v>103</c:v>
                </c:pt>
              </c:numCache>
            </c:numRef>
          </c:val>
          <c:extLst>
            <c:ext xmlns:c16="http://schemas.microsoft.com/office/drawing/2014/chart" uri="{C3380CC4-5D6E-409C-BE32-E72D297353CC}">
              <c16:uniqueId val="{00000004-AA5D-4E2C-9A01-C4A1C7A144DF}"/>
            </c:ext>
          </c:extLst>
        </c:ser>
        <c:dLbls>
          <c:showLegendKey val="0"/>
          <c:showVal val="0"/>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[GPT MATERNAL_HEALTH.xlsx]Pivot!PivotTable6</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tx1">
                    <a:lumMod val="95000"/>
                    <a:lumOff val="5000"/>
                  </a:schemeClr>
                </a:solidFill>
              </a:rPr>
              <a:t>COUNT OF  PATIENT BY  STATE</a:t>
            </a:r>
          </a:p>
        </c:rich>
      </c:tx>
      <c:layout>
        <c:manualLayout>
          <c:xMode val="edge"/>
          <c:yMode val="edge"/>
          <c:x val="0.3441596675415573"/>
          <c:y val="3.601633129192184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Pivot!$B$11</c:f>
              <c:strCache>
                <c:ptCount val="1"/>
                <c:pt idx="0">
                  <c:v>Total</c:v>
                </c:pt>
              </c:strCache>
            </c:strRef>
          </c:tx>
          <c:spPr>
            <a:solidFill>
              <a:schemeClr val="accent1"/>
            </a:solidFill>
            <a:ln>
              <a:noFill/>
            </a:ln>
            <a:effectLst/>
          </c:spPr>
          <c:invertIfNegative val="0"/>
          <c:cat>
            <c:strRef>
              <c:f>Pivot!$A$12:$A$17</c:f>
              <c:strCache>
                <c:ptCount val="5"/>
                <c:pt idx="0">
                  <c:v>Abia</c:v>
                </c:pt>
                <c:pt idx="1">
                  <c:v>Anambra</c:v>
                </c:pt>
                <c:pt idx="2">
                  <c:v>Ebonyi</c:v>
                </c:pt>
                <c:pt idx="3">
                  <c:v>Enugu</c:v>
                </c:pt>
                <c:pt idx="4">
                  <c:v>Imo</c:v>
                </c:pt>
              </c:strCache>
            </c:strRef>
          </c:cat>
          <c:val>
            <c:numRef>
              <c:f>Pivot!$B$12:$B$17</c:f>
              <c:numCache>
                <c:formatCode>General</c:formatCode>
                <c:ptCount val="5"/>
                <c:pt idx="0">
                  <c:v>31</c:v>
                </c:pt>
                <c:pt idx="1">
                  <c:v>20</c:v>
                </c:pt>
                <c:pt idx="2">
                  <c:v>43</c:v>
                </c:pt>
                <c:pt idx="3">
                  <c:v>27</c:v>
                </c:pt>
                <c:pt idx="4">
                  <c:v>29</c:v>
                </c:pt>
              </c:numCache>
            </c:numRef>
          </c:val>
          <c:extLst>
            <c:ext xmlns:c16="http://schemas.microsoft.com/office/drawing/2014/chart" uri="{C3380CC4-5D6E-409C-BE32-E72D297353CC}">
              <c16:uniqueId val="{00000000-C055-4FCD-A3E4-74EFB43D8C3B}"/>
            </c:ext>
          </c:extLst>
        </c:ser>
        <c:dLbls>
          <c:showLegendKey val="0"/>
          <c:showVal val="0"/>
          <c:showCatName val="0"/>
          <c:showSerName val="0"/>
          <c:showPercent val="0"/>
          <c:showBubbleSize val="0"/>
        </c:dLbls>
        <c:gapWidth val="219"/>
        <c:overlap val="-27"/>
        <c:axId val="1125377903"/>
        <c:axId val="1128585135"/>
      </c:barChart>
      <c:catAx>
        <c:axId val="112537790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28585135"/>
        <c:crosses val="autoZero"/>
        <c:auto val="1"/>
        <c:lblAlgn val="ctr"/>
        <c:lblOffset val="100"/>
        <c:noMultiLvlLbl val="0"/>
      </c:catAx>
      <c:valAx>
        <c:axId val="112858513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2537790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[GPT MATERNAL_HEALTH.xlsx]Pivot!PivotTable8</c:name>
    <c:fmtId val="3"/>
  </c:pivotSource>
  <c:chart>
    <c:title>
      <c:tx>
        <c:rich>
          <a:bodyPr rot="0" spcFirstLastPara="1" vertOverflow="ellipsis" vert="horz" wrap="square" anchor="ctr" anchorCtr="1"/>
          <a:lstStyle/>
          <a:p>
            <a:pPr>
              <a:defRPr sz="1400" b="1" i="0" u="none" strike="noStrike" kern="1200" spc="0" baseline="0">
                <a:solidFill>
                  <a:schemeClr val="tx1">
                    <a:lumMod val="95000"/>
                    <a:lumOff val="5000"/>
                  </a:schemeClr>
                </a:solidFill>
                <a:latin typeface="+mn-lt"/>
                <a:ea typeface="+mn-ea"/>
                <a:cs typeface="+mn-cs"/>
              </a:defRPr>
            </a:pPr>
            <a:r>
              <a:rPr lang="en-US" b="1">
                <a:solidFill>
                  <a:schemeClr val="tx1">
                    <a:lumMod val="95000"/>
                    <a:lumOff val="5000"/>
                  </a:schemeClr>
                </a:solidFill>
              </a:rPr>
              <a:t>COUNT OF PATIENT BY LGA</a:t>
            </a:r>
          </a:p>
        </c:rich>
      </c:tx>
      <c:layout>
        <c:manualLayout>
          <c:xMode val="edge"/>
          <c:yMode val="edge"/>
          <c:x val="0.27800000000000002"/>
          <c:y val="4.5275590551181105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95000"/>
                  <a:lumOff val="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Pivot!$B$21</c:f>
              <c:strCache>
                <c:ptCount val="1"/>
                <c:pt idx="0">
                  <c:v>Total</c:v>
                </c:pt>
              </c:strCache>
            </c:strRef>
          </c:tx>
          <c:spPr>
            <a:solidFill>
              <a:schemeClr val="accent1"/>
            </a:solidFill>
            <a:ln>
              <a:noFill/>
            </a:ln>
            <a:effectLst/>
          </c:spPr>
          <c:invertIfNegative val="0"/>
          <c:cat>
            <c:strRef>
              <c:f>Pivot!$A$22:$A$42</c:f>
              <c:strCache>
                <c:ptCount val="20"/>
                <c:pt idx="0">
                  <c:v>Aba South</c:v>
                </c:pt>
                <c:pt idx="1">
                  <c:v>Abakaliki</c:v>
                </c:pt>
                <c:pt idx="2">
                  <c:v>Afikpo North</c:v>
                </c:pt>
                <c:pt idx="3">
                  <c:v>Awka South</c:v>
                </c:pt>
                <c:pt idx="4">
                  <c:v>Enugu North</c:v>
                </c:pt>
                <c:pt idx="5">
                  <c:v>Enugu South</c:v>
                </c:pt>
                <c:pt idx="6">
                  <c:v>Ezza South</c:v>
                </c:pt>
                <c:pt idx="7">
                  <c:v>Idemili North</c:v>
                </c:pt>
                <c:pt idx="8">
                  <c:v>Isiala Ngwa North</c:v>
                </c:pt>
                <c:pt idx="9">
                  <c:v>Nnewi North</c:v>
                </c:pt>
                <c:pt idx="10">
                  <c:v>Nsukka</c:v>
                </c:pt>
                <c:pt idx="11">
                  <c:v>Ohafia</c:v>
                </c:pt>
                <c:pt idx="12">
                  <c:v>Ohaukwu</c:v>
                </c:pt>
                <c:pt idx="13">
                  <c:v>Okigwe</c:v>
                </c:pt>
                <c:pt idx="14">
                  <c:v>Onitsha South</c:v>
                </c:pt>
                <c:pt idx="15">
                  <c:v>Orlu</c:v>
                </c:pt>
                <c:pt idx="16">
                  <c:v>Owerri Municipal</c:v>
                </c:pt>
                <c:pt idx="17">
                  <c:v>Owerri West</c:v>
                </c:pt>
                <c:pt idx="18">
                  <c:v>Udi</c:v>
                </c:pt>
                <c:pt idx="19">
                  <c:v>Umuahia North</c:v>
                </c:pt>
              </c:strCache>
            </c:strRef>
          </c:cat>
          <c:val>
            <c:numRef>
              <c:f>Pivot!$B$22:$B$42</c:f>
              <c:numCache>
                <c:formatCode>General</c:formatCode>
                <c:ptCount val="20"/>
                <c:pt idx="0">
                  <c:v>7</c:v>
                </c:pt>
                <c:pt idx="1">
                  <c:v>8</c:v>
                </c:pt>
                <c:pt idx="2">
                  <c:v>16</c:v>
                </c:pt>
                <c:pt idx="3">
                  <c:v>7</c:v>
                </c:pt>
                <c:pt idx="4">
                  <c:v>4</c:v>
                </c:pt>
                <c:pt idx="5">
                  <c:v>7</c:v>
                </c:pt>
                <c:pt idx="6">
                  <c:v>12</c:v>
                </c:pt>
                <c:pt idx="7">
                  <c:v>4</c:v>
                </c:pt>
                <c:pt idx="8">
                  <c:v>8</c:v>
                </c:pt>
                <c:pt idx="9">
                  <c:v>5</c:v>
                </c:pt>
                <c:pt idx="10">
                  <c:v>7</c:v>
                </c:pt>
                <c:pt idx="11">
                  <c:v>7</c:v>
                </c:pt>
                <c:pt idx="12">
                  <c:v>6</c:v>
                </c:pt>
                <c:pt idx="13">
                  <c:v>6</c:v>
                </c:pt>
                <c:pt idx="14">
                  <c:v>4</c:v>
                </c:pt>
                <c:pt idx="15">
                  <c:v>10</c:v>
                </c:pt>
                <c:pt idx="16">
                  <c:v>8</c:v>
                </c:pt>
                <c:pt idx="17">
                  <c:v>5</c:v>
                </c:pt>
                <c:pt idx="18">
                  <c:v>11</c:v>
                </c:pt>
                <c:pt idx="19">
                  <c:v>8</c:v>
                </c:pt>
              </c:numCache>
            </c:numRef>
          </c:val>
          <c:extLst>
            <c:ext xmlns:c16="http://schemas.microsoft.com/office/drawing/2014/chart" uri="{C3380CC4-5D6E-409C-BE32-E72D297353CC}">
              <c16:uniqueId val="{00000000-0768-40B2-84A1-64FE2F93623A}"/>
            </c:ext>
          </c:extLst>
        </c:ser>
        <c:dLbls>
          <c:showLegendKey val="0"/>
          <c:showVal val="0"/>
          <c:showCatName val="0"/>
          <c:showSerName val="0"/>
          <c:showPercent val="0"/>
          <c:showBubbleSize val="0"/>
        </c:dLbls>
        <c:gapWidth val="182"/>
        <c:axId val="144508031"/>
        <c:axId val="1128649935"/>
      </c:barChart>
      <c:catAx>
        <c:axId val="14450803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28649935"/>
        <c:crosses val="autoZero"/>
        <c:auto val="1"/>
        <c:lblAlgn val="ctr"/>
        <c:lblOffset val="100"/>
        <c:noMultiLvlLbl val="0"/>
      </c:catAx>
      <c:valAx>
        <c:axId val="1128649935"/>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450803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[GPT MATERNAL_HEALTH.xlsx]Pivot!PivotTable19</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tx1">
                    <a:lumMod val="95000"/>
                    <a:lumOff val="5000"/>
                  </a:schemeClr>
                </a:solidFill>
              </a:rPr>
              <a:t>COUNT OF PATIENT BY AGE_GROUP</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Pivot!$B$53</c:f>
              <c:strCache>
                <c:ptCount val="1"/>
                <c:pt idx="0">
                  <c:v>Total</c:v>
                </c:pt>
              </c:strCache>
            </c:strRef>
          </c:tx>
          <c:spPr>
            <a:solidFill>
              <a:schemeClr val="accent1"/>
            </a:solidFill>
            <a:ln>
              <a:noFill/>
            </a:ln>
            <a:effectLst/>
          </c:spPr>
          <c:invertIfNegative val="0"/>
          <c:cat>
            <c:strRef>
              <c:f>Pivot!$A$54:$A$60</c:f>
              <c:strCache>
                <c:ptCount val="6"/>
                <c:pt idx="0">
                  <c:v>18-24</c:v>
                </c:pt>
                <c:pt idx="1">
                  <c:v>25-29</c:v>
                </c:pt>
                <c:pt idx="2">
                  <c:v>30-34</c:v>
                </c:pt>
                <c:pt idx="3">
                  <c:v>35-40</c:v>
                </c:pt>
                <c:pt idx="4">
                  <c:v>40-45</c:v>
                </c:pt>
                <c:pt idx="5">
                  <c:v>45+</c:v>
                </c:pt>
              </c:strCache>
            </c:strRef>
          </c:cat>
          <c:val>
            <c:numRef>
              <c:f>Pivot!$B$54:$B$60</c:f>
              <c:numCache>
                <c:formatCode>General</c:formatCode>
                <c:ptCount val="6"/>
                <c:pt idx="0">
                  <c:v>25</c:v>
                </c:pt>
                <c:pt idx="1">
                  <c:v>63</c:v>
                </c:pt>
                <c:pt idx="2">
                  <c:v>50</c:v>
                </c:pt>
                <c:pt idx="3">
                  <c:v>10</c:v>
                </c:pt>
                <c:pt idx="4">
                  <c:v>1</c:v>
                </c:pt>
                <c:pt idx="5">
                  <c:v>1</c:v>
                </c:pt>
              </c:numCache>
            </c:numRef>
          </c:val>
          <c:extLst>
            <c:ext xmlns:c16="http://schemas.microsoft.com/office/drawing/2014/chart" uri="{C3380CC4-5D6E-409C-BE32-E72D297353CC}">
              <c16:uniqueId val="{00000000-4414-479D-AAEC-7D5BE196FA76}"/>
            </c:ext>
          </c:extLst>
        </c:ser>
        <c:dLbls>
          <c:showLegendKey val="0"/>
          <c:showVal val="0"/>
          <c:showCatName val="0"/>
          <c:showSerName val="0"/>
          <c:showPercent val="0"/>
          <c:showBubbleSize val="0"/>
        </c:dLbls>
        <c:gapWidth val="219"/>
        <c:overlap val="-27"/>
        <c:axId val="144560927"/>
        <c:axId val="1128643215"/>
      </c:barChart>
      <c:catAx>
        <c:axId val="14456092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28643215"/>
        <c:crosses val="autoZero"/>
        <c:auto val="1"/>
        <c:lblAlgn val="ctr"/>
        <c:lblOffset val="100"/>
        <c:noMultiLvlLbl val="0"/>
      </c:catAx>
      <c:valAx>
        <c:axId val="112864321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456092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[GPT MATERNAL_HEALTH.xlsx]Pivot!PivotTable2</c:name>
    <c:fmtId val="3"/>
  </c:pivotSource>
  <c:chart>
    <c:title>
      <c:tx>
        <c:rich>
          <a:bodyPr rot="0" spcFirstLastPara="1" vertOverflow="ellipsis" vert="horz" wrap="square" anchor="ctr" anchorCtr="1"/>
          <a:lstStyle/>
          <a:p>
            <a:pPr>
              <a:defRPr sz="1400" b="1" i="0" u="none" strike="noStrike" kern="1200" spc="0" baseline="0">
                <a:solidFill>
                  <a:schemeClr val="tx1">
                    <a:lumMod val="95000"/>
                    <a:lumOff val="5000"/>
                  </a:schemeClr>
                </a:solidFill>
                <a:latin typeface="+mn-lt"/>
                <a:ea typeface="+mn-ea"/>
                <a:cs typeface="+mn-cs"/>
              </a:defRPr>
            </a:pPr>
            <a:r>
              <a:rPr lang="en-US" b="1">
                <a:solidFill>
                  <a:schemeClr val="tx1">
                    <a:lumMod val="95000"/>
                    <a:lumOff val="5000"/>
                  </a:schemeClr>
                </a:solidFill>
              </a:rPr>
              <a:t>DELIVERY</a:t>
            </a:r>
            <a:r>
              <a:rPr lang="en-US" b="1" baseline="0">
                <a:solidFill>
                  <a:schemeClr val="tx1">
                    <a:lumMod val="95000"/>
                    <a:lumOff val="5000"/>
                  </a:schemeClr>
                </a:solidFill>
              </a:rPr>
              <a:t> MODE BY BIRTH_OUTCOME</a:t>
            </a:r>
          </a:p>
          <a:p>
            <a:pPr>
              <a:defRPr b="1">
                <a:solidFill>
                  <a:schemeClr val="tx1">
                    <a:lumMod val="95000"/>
                    <a:lumOff val="5000"/>
                  </a:schemeClr>
                </a:solidFill>
              </a:defRPr>
            </a:pPr>
            <a:endParaRPr lang="en-US" b="1">
              <a:solidFill>
                <a:schemeClr val="tx1">
                  <a:lumMod val="95000"/>
                  <a:lumOff val="5000"/>
                </a:schemeClr>
              </a:solidFill>
            </a:endParaRPr>
          </a:p>
        </c:rich>
      </c:tx>
      <c:layout>
        <c:manualLayout>
          <c:xMode val="edge"/>
          <c:yMode val="edge"/>
          <c:x val="0.12244069912609237"/>
          <c:y val="3.0864197530864196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95000"/>
                  <a:lumOff val="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Pivot!$B$65:$B$66</c:f>
              <c:strCache>
                <c:ptCount val="1"/>
                <c:pt idx="0">
                  <c:v>Abia</c:v>
                </c:pt>
              </c:strCache>
            </c:strRef>
          </c:tx>
          <c:spPr>
            <a:solidFill>
              <a:schemeClr val="accent1"/>
            </a:solidFill>
            <a:ln>
              <a:noFill/>
            </a:ln>
            <a:effectLst/>
          </c:spPr>
          <c:invertIfNegative val="0"/>
          <c:cat>
            <c:strRef>
              <c:f>Pivot!$A$67:$A$70</c:f>
              <c:strCache>
                <c:ptCount val="3"/>
                <c:pt idx="0">
                  <c:v>Live Birth</c:v>
                </c:pt>
                <c:pt idx="1">
                  <c:v>Neonatal Death</c:v>
                </c:pt>
                <c:pt idx="2">
                  <c:v>Stillbirth</c:v>
                </c:pt>
              </c:strCache>
            </c:strRef>
          </c:cat>
          <c:val>
            <c:numRef>
              <c:f>Pivot!$B$67:$B$70</c:f>
              <c:numCache>
                <c:formatCode>General</c:formatCode>
                <c:ptCount val="3"/>
                <c:pt idx="0">
                  <c:v>30</c:v>
                </c:pt>
                <c:pt idx="2">
                  <c:v>1</c:v>
                </c:pt>
              </c:numCache>
            </c:numRef>
          </c:val>
          <c:extLst>
            <c:ext xmlns:c16="http://schemas.microsoft.com/office/drawing/2014/chart" uri="{C3380CC4-5D6E-409C-BE32-E72D297353CC}">
              <c16:uniqueId val="{00000000-D0DA-45BE-8E65-81932B470990}"/>
            </c:ext>
          </c:extLst>
        </c:ser>
        <c:ser>
          <c:idx val="1"/>
          <c:order val="1"/>
          <c:tx>
            <c:strRef>
              <c:f>Pivot!$C$65:$C$66</c:f>
              <c:strCache>
                <c:ptCount val="1"/>
                <c:pt idx="0">
                  <c:v>Anambra</c:v>
                </c:pt>
              </c:strCache>
            </c:strRef>
          </c:tx>
          <c:spPr>
            <a:solidFill>
              <a:schemeClr val="accent2"/>
            </a:solidFill>
            <a:ln>
              <a:noFill/>
            </a:ln>
            <a:effectLst/>
          </c:spPr>
          <c:invertIfNegative val="0"/>
          <c:cat>
            <c:strRef>
              <c:f>Pivot!$A$67:$A$70</c:f>
              <c:strCache>
                <c:ptCount val="3"/>
                <c:pt idx="0">
                  <c:v>Live Birth</c:v>
                </c:pt>
                <c:pt idx="1">
                  <c:v>Neonatal Death</c:v>
                </c:pt>
                <c:pt idx="2">
                  <c:v>Stillbirth</c:v>
                </c:pt>
              </c:strCache>
            </c:strRef>
          </c:cat>
          <c:val>
            <c:numRef>
              <c:f>Pivot!$C$67:$C$70</c:f>
              <c:numCache>
                <c:formatCode>General</c:formatCode>
                <c:ptCount val="3"/>
                <c:pt idx="0">
                  <c:v>17</c:v>
                </c:pt>
                <c:pt idx="1">
                  <c:v>2</c:v>
                </c:pt>
                <c:pt idx="2">
                  <c:v>1</c:v>
                </c:pt>
              </c:numCache>
            </c:numRef>
          </c:val>
          <c:extLst>
            <c:ext xmlns:c16="http://schemas.microsoft.com/office/drawing/2014/chart" uri="{C3380CC4-5D6E-409C-BE32-E72D297353CC}">
              <c16:uniqueId val="{00000006-D0DA-45BE-8E65-81932B470990}"/>
            </c:ext>
          </c:extLst>
        </c:ser>
        <c:ser>
          <c:idx val="2"/>
          <c:order val="2"/>
          <c:tx>
            <c:strRef>
              <c:f>Pivot!$D$65:$D$66</c:f>
              <c:strCache>
                <c:ptCount val="1"/>
                <c:pt idx="0">
                  <c:v>Ebonyi</c:v>
                </c:pt>
              </c:strCache>
            </c:strRef>
          </c:tx>
          <c:spPr>
            <a:solidFill>
              <a:schemeClr val="accent3"/>
            </a:solidFill>
            <a:ln>
              <a:noFill/>
            </a:ln>
            <a:effectLst/>
          </c:spPr>
          <c:invertIfNegative val="0"/>
          <c:cat>
            <c:strRef>
              <c:f>Pivot!$A$67:$A$70</c:f>
              <c:strCache>
                <c:ptCount val="3"/>
                <c:pt idx="0">
                  <c:v>Live Birth</c:v>
                </c:pt>
                <c:pt idx="1">
                  <c:v>Neonatal Death</c:v>
                </c:pt>
                <c:pt idx="2">
                  <c:v>Stillbirth</c:v>
                </c:pt>
              </c:strCache>
            </c:strRef>
          </c:cat>
          <c:val>
            <c:numRef>
              <c:f>Pivot!$D$67:$D$70</c:f>
              <c:numCache>
                <c:formatCode>General</c:formatCode>
                <c:ptCount val="3"/>
                <c:pt idx="0">
                  <c:v>40</c:v>
                </c:pt>
                <c:pt idx="1">
                  <c:v>1</c:v>
                </c:pt>
                <c:pt idx="2">
                  <c:v>2</c:v>
                </c:pt>
              </c:numCache>
            </c:numRef>
          </c:val>
          <c:extLst>
            <c:ext xmlns:c16="http://schemas.microsoft.com/office/drawing/2014/chart" uri="{C3380CC4-5D6E-409C-BE32-E72D297353CC}">
              <c16:uniqueId val="{00000007-D0DA-45BE-8E65-81932B470990}"/>
            </c:ext>
          </c:extLst>
        </c:ser>
        <c:ser>
          <c:idx val="3"/>
          <c:order val="3"/>
          <c:tx>
            <c:strRef>
              <c:f>Pivot!$E$65:$E$66</c:f>
              <c:strCache>
                <c:ptCount val="1"/>
                <c:pt idx="0">
                  <c:v>Enugu</c:v>
                </c:pt>
              </c:strCache>
            </c:strRef>
          </c:tx>
          <c:spPr>
            <a:solidFill>
              <a:schemeClr val="accent4"/>
            </a:solidFill>
            <a:ln>
              <a:noFill/>
            </a:ln>
            <a:effectLst/>
          </c:spPr>
          <c:invertIfNegative val="0"/>
          <c:cat>
            <c:strRef>
              <c:f>Pivot!$A$67:$A$70</c:f>
              <c:strCache>
                <c:ptCount val="3"/>
                <c:pt idx="0">
                  <c:v>Live Birth</c:v>
                </c:pt>
                <c:pt idx="1">
                  <c:v>Neonatal Death</c:v>
                </c:pt>
                <c:pt idx="2">
                  <c:v>Stillbirth</c:v>
                </c:pt>
              </c:strCache>
            </c:strRef>
          </c:cat>
          <c:val>
            <c:numRef>
              <c:f>Pivot!$E$67:$E$70</c:f>
              <c:numCache>
                <c:formatCode>General</c:formatCode>
                <c:ptCount val="3"/>
                <c:pt idx="0">
                  <c:v>23</c:v>
                </c:pt>
                <c:pt idx="1">
                  <c:v>1</c:v>
                </c:pt>
                <c:pt idx="2">
                  <c:v>3</c:v>
                </c:pt>
              </c:numCache>
            </c:numRef>
          </c:val>
          <c:extLst>
            <c:ext xmlns:c16="http://schemas.microsoft.com/office/drawing/2014/chart" uri="{C3380CC4-5D6E-409C-BE32-E72D297353CC}">
              <c16:uniqueId val="{00000008-D0DA-45BE-8E65-81932B470990}"/>
            </c:ext>
          </c:extLst>
        </c:ser>
        <c:ser>
          <c:idx val="4"/>
          <c:order val="4"/>
          <c:tx>
            <c:strRef>
              <c:f>Pivot!$F$65:$F$66</c:f>
              <c:strCache>
                <c:ptCount val="1"/>
                <c:pt idx="0">
                  <c:v>Imo</c:v>
                </c:pt>
              </c:strCache>
            </c:strRef>
          </c:tx>
          <c:spPr>
            <a:solidFill>
              <a:schemeClr val="accent5"/>
            </a:solidFill>
            <a:ln>
              <a:noFill/>
            </a:ln>
            <a:effectLst/>
          </c:spPr>
          <c:invertIfNegative val="0"/>
          <c:cat>
            <c:strRef>
              <c:f>Pivot!$A$67:$A$70</c:f>
              <c:strCache>
                <c:ptCount val="3"/>
                <c:pt idx="0">
                  <c:v>Live Birth</c:v>
                </c:pt>
                <c:pt idx="1">
                  <c:v>Neonatal Death</c:v>
                </c:pt>
                <c:pt idx="2">
                  <c:v>Stillbirth</c:v>
                </c:pt>
              </c:strCache>
            </c:strRef>
          </c:cat>
          <c:val>
            <c:numRef>
              <c:f>Pivot!$F$67:$F$70</c:f>
              <c:numCache>
                <c:formatCode>General</c:formatCode>
                <c:ptCount val="3"/>
                <c:pt idx="0">
                  <c:v>28</c:v>
                </c:pt>
                <c:pt idx="2">
                  <c:v>1</c:v>
                </c:pt>
              </c:numCache>
            </c:numRef>
          </c:val>
          <c:extLst>
            <c:ext xmlns:c16="http://schemas.microsoft.com/office/drawing/2014/chart" uri="{C3380CC4-5D6E-409C-BE32-E72D297353CC}">
              <c16:uniqueId val="{00000009-D0DA-45BE-8E65-81932B470990}"/>
            </c:ext>
          </c:extLst>
        </c:ser>
        <c:dLbls>
          <c:showLegendKey val="0"/>
          <c:showVal val="0"/>
          <c:showCatName val="0"/>
          <c:showSerName val="0"/>
          <c:showPercent val="0"/>
          <c:showBubbleSize val="0"/>
        </c:dLbls>
        <c:gapWidth val="219"/>
        <c:overlap val="-27"/>
        <c:axId val="140482639"/>
        <c:axId val="1128626415"/>
      </c:barChart>
      <c:catAx>
        <c:axId val="14048263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28626415"/>
        <c:crosses val="autoZero"/>
        <c:auto val="1"/>
        <c:lblAlgn val="ctr"/>
        <c:lblOffset val="100"/>
        <c:noMultiLvlLbl val="0"/>
      </c:catAx>
      <c:valAx>
        <c:axId val="112862641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048263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[GPT MATERNAL_HEALTH.xlsx]Pivot!PivotTable9</c:name>
    <c:fmtId val="3"/>
  </c:pivotSource>
  <c:chart>
    <c:title>
      <c:tx>
        <c:rich>
          <a:bodyPr rot="0" spcFirstLastPara="1" vertOverflow="ellipsis" vert="horz" wrap="square" anchor="ctr" anchorCtr="1"/>
          <a:lstStyle/>
          <a:p>
            <a:pPr>
              <a:defRPr sz="1400" b="1" i="0" u="none" strike="noStrike" kern="1200" spc="0" baseline="0">
                <a:solidFill>
                  <a:schemeClr val="tx1">
                    <a:lumMod val="95000"/>
                    <a:lumOff val="5000"/>
                  </a:schemeClr>
                </a:solidFill>
                <a:latin typeface="+mn-lt"/>
                <a:ea typeface="+mn-ea"/>
                <a:cs typeface="+mn-cs"/>
              </a:defRPr>
            </a:pPr>
            <a:r>
              <a:rPr lang="en-US" b="1">
                <a:solidFill>
                  <a:schemeClr val="tx1">
                    <a:lumMod val="95000"/>
                    <a:lumOff val="5000"/>
                  </a:schemeClr>
                </a:solidFill>
              </a:rPr>
              <a:t>COUNT OF PATIENT BY FACILITY</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95000"/>
                  <a:lumOff val="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Pivot!$F$3</c:f>
              <c:strCache>
                <c:ptCount val="1"/>
                <c:pt idx="0">
                  <c:v>Total</c:v>
                </c:pt>
              </c:strCache>
            </c:strRef>
          </c:tx>
          <c:spPr>
            <a:solidFill>
              <a:schemeClr val="accent1"/>
            </a:solidFill>
            <a:ln>
              <a:noFill/>
            </a:ln>
            <a:effectLst/>
          </c:spPr>
          <c:invertIfNegative val="0"/>
          <c:cat>
            <c:strRef>
              <c:f>Pivot!$E$4:$E$10</c:f>
              <c:strCache>
                <c:ptCount val="6"/>
                <c:pt idx="0">
                  <c:v>Divine Grace Hospital</c:v>
                </c:pt>
                <c:pt idx="1">
                  <c:v>Federal Medical Centre</c:v>
                </c:pt>
                <c:pt idx="2">
                  <c:v>General Hospital</c:v>
                </c:pt>
                <c:pt idx="3">
                  <c:v>Mother &amp; Child Clinic</c:v>
                </c:pt>
                <c:pt idx="4">
                  <c:v>Peace Medical Centre</c:v>
                </c:pt>
                <c:pt idx="5">
                  <c:v>St. Mary Hospital</c:v>
                </c:pt>
              </c:strCache>
            </c:strRef>
          </c:cat>
          <c:val>
            <c:numRef>
              <c:f>Pivot!$F$4:$F$10</c:f>
              <c:numCache>
                <c:formatCode>General</c:formatCode>
                <c:ptCount val="6"/>
                <c:pt idx="0">
                  <c:v>21</c:v>
                </c:pt>
                <c:pt idx="1">
                  <c:v>23</c:v>
                </c:pt>
                <c:pt idx="2">
                  <c:v>26</c:v>
                </c:pt>
                <c:pt idx="3">
                  <c:v>19</c:v>
                </c:pt>
                <c:pt idx="4">
                  <c:v>35</c:v>
                </c:pt>
                <c:pt idx="5">
                  <c:v>26</c:v>
                </c:pt>
              </c:numCache>
            </c:numRef>
          </c:val>
          <c:extLst>
            <c:ext xmlns:c16="http://schemas.microsoft.com/office/drawing/2014/chart" uri="{C3380CC4-5D6E-409C-BE32-E72D297353CC}">
              <c16:uniqueId val="{00000000-5B97-4861-A12A-DD2D9F41531E}"/>
            </c:ext>
          </c:extLst>
        </c:ser>
        <c:dLbls>
          <c:showLegendKey val="0"/>
          <c:showVal val="0"/>
          <c:showCatName val="0"/>
          <c:showSerName val="0"/>
          <c:showPercent val="0"/>
          <c:showBubbleSize val="0"/>
        </c:dLbls>
        <c:gapWidth val="219"/>
        <c:overlap val="-27"/>
        <c:axId val="149527215"/>
        <c:axId val="1128604335"/>
      </c:barChart>
      <c:catAx>
        <c:axId val="1495272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28604335"/>
        <c:crosses val="autoZero"/>
        <c:auto val="1"/>
        <c:lblAlgn val="ctr"/>
        <c:lblOffset val="100"/>
        <c:noMultiLvlLbl val="0"/>
      </c:catAx>
      <c:valAx>
        <c:axId val="112860433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952721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[GPT MATERNAL_HEALTH.xlsx]Pivot!PivotTable13</c:name>
    <c:fmtId val="4"/>
  </c:pivotSource>
  <c:chart>
    <c:title>
      <c:tx>
        <c:rich>
          <a:bodyPr rot="0" spcFirstLastPara="1" vertOverflow="ellipsis" vert="horz" wrap="square" anchor="ctr" anchorCtr="1"/>
          <a:lstStyle/>
          <a:p>
            <a:pPr>
              <a:defRPr sz="1100" b="1" i="0" u="none" strike="noStrike" kern="1200" spc="0" baseline="0">
                <a:solidFill>
                  <a:schemeClr val="tx1">
                    <a:lumMod val="95000"/>
                    <a:lumOff val="5000"/>
                  </a:schemeClr>
                </a:solidFill>
                <a:latin typeface="+mn-lt"/>
                <a:ea typeface="+mn-ea"/>
                <a:cs typeface="+mn-cs"/>
              </a:defRPr>
            </a:pPr>
            <a:r>
              <a:rPr lang="en-US" sz="1100" b="1">
                <a:solidFill>
                  <a:schemeClr val="tx1">
                    <a:lumMod val="95000"/>
                    <a:lumOff val="5000"/>
                  </a:schemeClr>
                </a:solidFill>
              </a:rPr>
              <a:t>COUNT OF PATIENT BY MATERNAL_COMPLICATIONS</a:t>
            </a:r>
          </a:p>
        </c:rich>
      </c:tx>
      <c:layout>
        <c:manualLayout>
          <c:xMode val="edge"/>
          <c:yMode val="edge"/>
          <c:x val="0.10892344706911636"/>
          <c:y val="2.3148148148148147E-2"/>
        </c:manualLayout>
      </c:layout>
      <c:overlay val="0"/>
      <c:spPr>
        <a:noFill/>
        <a:ln>
          <a:noFill/>
        </a:ln>
        <a:effectLst/>
      </c:spPr>
      <c:txPr>
        <a:bodyPr rot="0" spcFirstLastPara="1" vertOverflow="ellipsis" vert="horz" wrap="square" anchor="ctr" anchorCtr="1"/>
        <a:lstStyle/>
        <a:p>
          <a:pPr>
            <a:defRPr sz="1100" b="1" i="0" u="none" strike="noStrike" kern="1200" spc="0" baseline="0">
              <a:solidFill>
                <a:schemeClr val="tx1">
                  <a:lumMod val="95000"/>
                  <a:lumOff val="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Pivot!$F$30</c:f>
              <c:strCache>
                <c:ptCount val="1"/>
                <c:pt idx="0">
                  <c:v>Total</c:v>
                </c:pt>
              </c:strCache>
            </c:strRef>
          </c:tx>
          <c:spPr>
            <a:solidFill>
              <a:schemeClr val="accent1"/>
            </a:solidFill>
            <a:ln>
              <a:noFill/>
            </a:ln>
            <a:effectLst/>
          </c:spPr>
          <c:invertIfNegative val="0"/>
          <c:cat>
            <c:strRef>
              <c:f>Pivot!$E$31:$E$38</c:f>
              <c:strCache>
                <c:ptCount val="7"/>
                <c:pt idx="0">
                  <c:v>Eclampsia</c:v>
                </c:pt>
                <c:pt idx="1">
                  <c:v>Gestational Diabetes</c:v>
                </c:pt>
                <c:pt idx="2">
                  <c:v>Infection</c:v>
                </c:pt>
                <c:pt idx="3">
                  <c:v>None</c:v>
                </c:pt>
                <c:pt idx="4">
                  <c:v>Postpartum Hemorrhage</c:v>
                </c:pt>
                <c:pt idx="5">
                  <c:v>Pre-eclampsia</c:v>
                </c:pt>
                <c:pt idx="6">
                  <c:v>Prolonged Labour</c:v>
                </c:pt>
              </c:strCache>
            </c:strRef>
          </c:cat>
          <c:val>
            <c:numRef>
              <c:f>Pivot!$F$31:$F$38</c:f>
              <c:numCache>
                <c:formatCode>General</c:formatCode>
                <c:ptCount val="7"/>
                <c:pt idx="0">
                  <c:v>5</c:v>
                </c:pt>
                <c:pt idx="1">
                  <c:v>3</c:v>
                </c:pt>
                <c:pt idx="2">
                  <c:v>5</c:v>
                </c:pt>
                <c:pt idx="3">
                  <c:v>93</c:v>
                </c:pt>
                <c:pt idx="4">
                  <c:v>17</c:v>
                </c:pt>
                <c:pt idx="5">
                  <c:v>10</c:v>
                </c:pt>
                <c:pt idx="6">
                  <c:v>17</c:v>
                </c:pt>
              </c:numCache>
            </c:numRef>
          </c:val>
          <c:extLst>
            <c:ext xmlns:c16="http://schemas.microsoft.com/office/drawing/2014/chart" uri="{C3380CC4-5D6E-409C-BE32-E72D297353CC}">
              <c16:uniqueId val="{00000000-83BA-4E1C-B000-C4702FF855BE}"/>
            </c:ext>
          </c:extLst>
        </c:ser>
        <c:dLbls>
          <c:showLegendKey val="0"/>
          <c:showVal val="0"/>
          <c:showCatName val="0"/>
          <c:showSerName val="0"/>
          <c:showPercent val="0"/>
          <c:showBubbleSize val="0"/>
        </c:dLbls>
        <c:gapWidth val="182"/>
        <c:axId val="144559071"/>
        <c:axId val="1128622095"/>
      </c:barChart>
      <c:catAx>
        <c:axId val="14455907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28622095"/>
        <c:crosses val="autoZero"/>
        <c:auto val="1"/>
        <c:lblAlgn val="ctr"/>
        <c:lblOffset val="100"/>
        <c:noMultiLvlLbl val="0"/>
      </c:catAx>
      <c:valAx>
        <c:axId val="1128622095"/>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455907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[GPT MATERNAL_HEALTH.xlsx]Pivot!PivotTable11</c:name>
    <c:fmtId val="4"/>
  </c:pivotSource>
  <c:chart>
    <c:title>
      <c:tx>
        <c:rich>
          <a:bodyPr rot="0" spcFirstLastPara="1" vertOverflow="ellipsis" vert="horz" wrap="square" anchor="ctr" anchorCtr="1"/>
          <a:lstStyle/>
          <a:p>
            <a:pPr>
              <a:defRPr sz="1400" b="1" i="0" u="none" strike="noStrike" kern="1200" spc="0" baseline="0">
                <a:solidFill>
                  <a:schemeClr val="tx1">
                    <a:lumMod val="95000"/>
                    <a:lumOff val="5000"/>
                  </a:schemeClr>
                </a:solidFill>
                <a:latin typeface="+mn-lt"/>
                <a:ea typeface="+mn-ea"/>
                <a:cs typeface="+mn-cs"/>
              </a:defRPr>
            </a:pPr>
            <a:r>
              <a:rPr lang="en-US" b="1">
                <a:solidFill>
                  <a:schemeClr val="tx1">
                    <a:lumMod val="95000"/>
                    <a:lumOff val="5000"/>
                  </a:schemeClr>
                </a:solidFill>
              </a:rPr>
              <a:t>COUNT OF PATIENT BY REFERRAL</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95000"/>
                  <a:lumOff val="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s>
    <c:plotArea>
      <c:layout/>
      <c:doughnutChart>
        <c:varyColors val="1"/>
        <c:ser>
          <c:idx val="0"/>
          <c:order val="0"/>
          <c:tx>
            <c:strRef>
              <c:f>Pivot!$F$12</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B7A0-4253-96FF-A1F58B168353}"/>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B7A0-4253-96FF-A1F58B168353}"/>
              </c:ext>
            </c:extLst>
          </c:dPt>
          <c:cat>
            <c:strRef>
              <c:f>Pivot!$E$13:$E$15</c:f>
              <c:strCache>
                <c:ptCount val="2"/>
                <c:pt idx="0">
                  <c:v>No</c:v>
                </c:pt>
                <c:pt idx="1">
                  <c:v>Yes</c:v>
                </c:pt>
              </c:strCache>
            </c:strRef>
          </c:cat>
          <c:val>
            <c:numRef>
              <c:f>Pivot!$F$13:$F$15</c:f>
              <c:numCache>
                <c:formatCode>General</c:formatCode>
                <c:ptCount val="2"/>
                <c:pt idx="0">
                  <c:v>118</c:v>
                </c:pt>
                <c:pt idx="1">
                  <c:v>32</c:v>
                </c:pt>
              </c:numCache>
            </c:numRef>
          </c:val>
          <c:extLst>
            <c:ext xmlns:c16="http://schemas.microsoft.com/office/drawing/2014/chart" uri="{C3380CC4-5D6E-409C-BE32-E72D297353CC}">
              <c16:uniqueId val="{00000004-B7A0-4253-96FF-A1F58B168353}"/>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[GPT MATERNAL_HEALTH.xlsx]Pivot!PivotTable20</c:name>
    <c:fmtId val="3"/>
  </c:pivotSource>
  <c:chart>
    <c:title>
      <c:tx>
        <c:rich>
          <a:bodyPr rot="0" spcFirstLastPara="1" vertOverflow="ellipsis" vert="horz" wrap="square" anchor="ctr" anchorCtr="1"/>
          <a:lstStyle/>
          <a:p>
            <a:pPr>
              <a:defRPr sz="1400" b="1" i="0" u="none" strike="noStrike" kern="1200" spc="0" baseline="0">
                <a:solidFill>
                  <a:schemeClr val="tx1">
                    <a:lumMod val="95000"/>
                    <a:lumOff val="5000"/>
                  </a:schemeClr>
                </a:solidFill>
                <a:latin typeface="+mn-lt"/>
                <a:ea typeface="+mn-ea"/>
                <a:cs typeface="+mn-cs"/>
              </a:defRPr>
            </a:pPr>
            <a:r>
              <a:rPr lang="en-US" b="1">
                <a:solidFill>
                  <a:schemeClr val="tx1">
                    <a:lumMod val="95000"/>
                    <a:lumOff val="5000"/>
                  </a:schemeClr>
                </a:solidFill>
              </a:rPr>
              <a:t>SUM</a:t>
            </a:r>
            <a:r>
              <a:rPr lang="en-US" b="1" baseline="0">
                <a:solidFill>
                  <a:schemeClr val="tx1">
                    <a:lumMod val="95000"/>
                    <a:lumOff val="5000"/>
                  </a:schemeClr>
                </a:solidFill>
              </a:rPr>
              <a:t> OF ANC_VISIT BY STATE</a:t>
            </a:r>
            <a:endParaRPr lang="en-US" b="1">
              <a:solidFill>
                <a:schemeClr val="tx1">
                  <a:lumMod val="95000"/>
                  <a:lumOff val="5000"/>
                </a:schemeClr>
              </a:solidFill>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95000"/>
                  <a:lumOff val="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Pivot!$F$55</c:f>
              <c:strCache>
                <c:ptCount val="1"/>
                <c:pt idx="0">
                  <c:v>Total</c:v>
                </c:pt>
              </c:strCache>
            </c:strRef>
          </c:tx>
          <c:spPr>
            <a:solidFill>
              <a:schemeClr val="accent1"/>
            </a:solidFill>
            <a:ln>
              <a:noFill/>
            </a:ln>
            <a:effectLst/>
          </c:spPr>
          <c:invertIfNegative val="0"/>
          <c:cat>
            <c:strRef>
              <c:f>Pivot!$E$56:$E$61</c:f>
              <c:strCache>
                <c:ptCount val="5"/>
                <c:pt idx="0">
                  <c:v>Abia</c:v>
                </c:pt>
                <c:pt idx="1">
                  <c:v>Anambra</c:v>
                </c:pt>
                <c:pt idx="2">
                  <c:v>Ebonyi</c:v>
                </c:pt>
                <c:pt idx="3">
                  <c:v>Enugu</c:v>
                </c:pt>
                <c:pt idx="4">
                  <c:v>Imo</c:v>
                </c:pt>
              </c:strCache>
            </c:strRef>
          </c:cat>
          <c:val>
            <c:numRef>
              <c:f>Pivot!$F$56:$F$61</c:f>
              <c:numCache>
                <c:formatCode>General</c:formatCode>
                <c:ptCount val="5"/>
                <c:pt idx="0">
                  <c:v>123</c:v>
                </c:pt>
                <c:pt idx="1">
                  <c:v>106</c:v>
                </c:pt>
                <c:pt idx="2">
                  <c:v>209</c:v>
                </c:pt>
                <c:pt idx="3">
                  <c:v>101</c:v>
                </c:pt>
                <c:pt idx="4">
                  <c:v>129</c:v>
                </c:pt>
              </c:numCache>
            </c:numRef>
          </c:val>
          <c:extLst>
            <c:ext xmlns:c16="http://schemas.microsoft.com/office/drawing/2014/chart" uri="{C3380CC4-5D6E-409C-BE32-E72D297353CC}">
              <c16:uniqueId val="{00000000-2D1B-446B-93D7-4CEE168ED920}"/>
            </c:ext>
          </c:extLst>
        </c:ser>
        <c:dLbls>
          <c:showLegendKey val="0"/>
          <c:showVal val="0"/>
          <c:showCatName val="0"/>
          <c:showSerName val="0"/>
          <c:showPercent val="0"/>
          <c:showBubbleSize val="0"/>
        </c:dLbls>
        <c:gapWidth val="219"/>
        <c:overlap val="-27"/>
        <c:axId val="144521951"/>
        <c:axId val="1128592335"/>
      </c:barChart>
      <c:catAx>
        <c:axId val="14452195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28592335"/>
        <c:crosses val="autoZero"/>
        <c:auto val="1"/>
        <c:lblAlgn val="ctr"/>
        <c:lblOffset val="100"/>
        <c:noMultiLvlLbl val="0"/>
      </c:catAx>
      <c:valAx>
        <c:axId val="112859233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452195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 Id="rId9"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5</xdr:col>
      <xdr:colOff>495300</xdr:colOff>
      <xdr:row>0</xdr:row>
      <xdr:rowOff>114300</xdr:rowOff>
    </xdr:from>
    <xdr:to>
      <xdr:col>14</xdr:col>
      <xdr:colOff>472440</xdr:colOff>
      <xdr:row>5</xdr:row>
      <xdr:rowOff>68580</xdr:rowOff>
    </xdr:to>
    <xdr:sp macro="" textlink="">
      <xdr:nvSpPr>
        <xdr:cNvPr id="2" name="TextBox 1">
          <a:extLst>
            <a:ext uri="{FF2B5EF4-FFF2-40B4-BE49-F238E27FC236}">
              <a16:creationId xmlns:a16="http://schemas.microsoft.com/office/drawing/2014/main" id="{71053670-57C7-F0E7-52BA-16056665A014}"/>
            </a:ext>
          </a:extLst>
        </xdr:cNvPr>
        <xdr:cNvSpPr txBox="1"/>
      </xdr:nvSpPr>
      <xdr:spPr>
        <a:xfrm>
          <a:off x="3543300" y="114300"/>
          <a:ext cx="5463540" cy="86868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2400" b="1">
              <a:solidFill>
                <a:schemeClr val="tx1">
                  <a:lumMod val="95000"/>
                  <a:lumOff val="5000"/>
                </a:schemeClr>
              </a:solidFill>
            </a:rPr>
            <a:t>MATERNAL</a:t>
          </a:r>
          <a:r>
            <a:rPr lang="en-US" sz="2000" b="1">
              <a:solidFill>
                <a:schemeClr val="tx1">
                  <a:lumMod val="95000"/>
                  <a:lumOff val="5000"/>
                </a:schemeClr>
              </a:solidFill>
            </a:rPr>
            <a:t>_HEALTH ANALYSIS</a:t>
          </a:r>
        </a:p>
        <a:p>
          <a:pPr algn="ctr"/>
          <a:r>
            <a:rPr lang="en-US" sz="1400" b="1" i="1">
              <a:solidFill>
                <a:schemeClr val="tx1">
                  <a:lumMod val="95000"/>
                  <a:lumOff val="5000"/>
                </a:schemeClr>
              </a:solidFill>
            </a:rPr>
            <a:t>SOUTH EAST RECORD</a:t>
          </a:r>
        </a:p>
      </xdr:txBody>
    </xdr:sp>
    <xdr:clientData/>
  </xdr:twoCellAnchor>
  <xdr:twoCellAnchor>
    <xdr:from>
      <xdr:col>0</xdr:col>
      <xdr:colOff>320040</xdr:colOff>
      <xdr:row>6</xdr:row>
      <xdr:rowOff>160020</xdr:rowOff>
    </xdr:from>
    <xdr:to>
      <xdr:col>5</xdr:col>
      <xdr:colOff>571500</xdr:colOff>
      <xdr:row>20</xdr:row>
      <xdr:rowOff>114300</xdr:rowOff>
    </xdr:to>
    <xdr:graphicFrame macro="">
      <xdr:nvGraphicFramePr>
        <xdr:cNvPr id="4" name="Chart 3">
          <a:extLst>
            <a:ext uri="{FF2B5EF4-FFF2-40B4-BE49-F238E27FC236}">
              <a16:creationId xmlns:a16="http://schemas.microsoft.com/office/drawing/2014/main" id="{FE47DD82-45C3-4C1C-9C72-BCDD4EB4306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579120</xdr:colOff>
      <xdr:row>6</xdr:row>
      <xdr:rowOff>160020</xdr:rowOff>
    </xdr:from>
    <xdr:to>
      <xdr:col>10</xdr:col>
      <xdr:colOff>594360</xdr:colOff>
      <xdr:row>20</xdr:row>
      <xdr:rowOff>106680</xdr:rowOff>
    </xdr:to>
    <xdr:graphicFrame macro="">
      <xdr:nvGraphicFramePr>
        <xdr:cNvPr id="5" name="Chart 4">
          <a:extLst>
            <a:ext uri="{FF2B5EF4-FFF2-40B4-BE49-F238E27FC236}">
              <a16:creationId xmlns:a16="http://schemas.microsoft.com/office/drawing/2014/main" id="{28870F59-6B95-4C66-AFA1-2A672344704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11</xdr:col>
      <xdr:colOff>15240</xdr:colOff>
      <xdr:row>6</xdr:row>
      <xdr:rowOff>160020</xdr:rowOff>
    </xdr:from>
    <xdr:to>
      <xdr:col>17</xdr:col>
      <xdr:colOff>251460</xdr:colOff>
      <xdr:row>20</xdr:row>
      <xdr:rowOff>152400</xdr:rowOff>
    </xdr:to>
    <xdr:graphicFrame macro="">
      <xdr:nvGraphicFramePr>
        <xdr:cNvPr id="6" name="Chart 5">
          <a:extLst>
            <a:ext uri="{FF2B5EF4-FFF2-40B4-BE49-F238E27FC236}">
              <a16:creationId xmlns:a16="http://schemas.microsoft.com/office/drawing/2014/main" id="{507F9314-7A47-4948-B8B7-96ED13F5E2E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320040</xdr:colOff>
      <xdr:row>20</xdr:row>
      <xdr:rowOff>137160</xdr:rowOff>
    </xdr:from>
    <xdr:to>
      <xdr:col>7</xdr:col>
      <xdr:colOff>45720</xdr:colOff>
      <xdr:row>34</xdr:row>
      <xdr:rowOff>53340</xdr:rowOff>
    </xdr:to>
    <xdr:graphicFrame macro="">
      <xdr:nvGraphicFramePr>
        <xdr:cNvPr id="8" name="Chart 7">
          <a:extLst>
            <a:ext uri="{FF2B5EF4-FFF2-40B4-BE49-F238E27FC236}">
              <a16:creationId xmlns:a16="http://schemas.microsoft.com/office/drawing/2014/main" id="{69DF71B4-0E25-412C-A461-79AC32174E8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7</xdr:col>
      <xdr:colOff>53340</xdr:colOff>
      <xdr:row>20</xdr:row>
      <xdr:rowOff>137160</xdr:rowOff>
    </xdr:from>
    <xdr:to>
      <xdr:col>13</xdr:col>
      <xdr:colOff>464820</xdr:colOff>
      <xdr:row>34</xdr:row>
      <xdr:rowOff>38100</xdr:rowOff>
    </xdr:to>
    <xdr:graphicFrame macro="">
      <xdr:nvGraphicFramePr>
        <xdr:cNvPr id="9" name="Chart 8">
          <a:extLst>
            <a:ext uri="{FF2B5EF4-FFF2-40B4-BE49-F238E27FC236}">
              <a16:creationId xmlns:a16="http://schemas.microsoft.com/office/drawing/2014/main" id="{4818C36C-34F5-48EA-80E4-CE8D968F4B3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13</xdr:col>
      <xdr:colOff>480060</xdr:colOff>
      <xdr:row>20</xdr:row>
      <xdr:rowOff>167640</xdr:rowOff>
    </xdr:from>
    <xdr:to>
      <xdr:col>20</xdr:col>
      <xdr:colOff>251460</xdr:colOff>
      <xdr:row>34</xdr:row>
      <xdr:rowOff>22860</xdr:rowOff>
    </xdr:to>
    <xdr:graphicFrame macro="">
      <xdr:nvGraphicFramePr>
        <xdr:cNvPr id="10" name="Chart 9">
          <a:extLst>
            <a:ext uri="{FF2B5EF4-FFF2-40B4-BE49-F238E27FC236}">
              <a16:creationId xmlns:a16="http://schemas.microsoft.com/office/drawing/2014/main" id="{288A1E05-9725-4728-A743-1E01F3C60D4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312420</xdr:colOff>
      <xdr:row>34</xdr:row>
      <xdr:rowOff>60960</xdr:rowOff>
    </xdr:from>
    <xdr:to>
      <xdr:col>7</xdr:col>
      <xdr:colOff>60960</xdr:colOff>
      <xdr:row>46</xdr:row>
      <xdr:rowOff>129540</xdr:rowOff>
    </xdr:to>
    <xdr:graphicFrame macro="">
      <xdr:nvGraphicFramePr>
        <xdr:cNvPr id="12" name="Chart 11">
          <a:extLst>
            <a:ext uri="{FF2B5EF4-FFF2-40B4-BE49-F238E27FC236}">
              <a16:creationId xmlns:a16="http://schemas.microsoft.com/office/drawing/2014/main" id="{6CFB9632-C06E-4790-8AFE-8509E29213F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7</xdr:col>
      <xdr:colOff>76200</xdr:colOff>
      <xdr:row>34</xdr:row>
      <xdr:rowOff>45720</xdr:rowOff>
    </xdr:from>
    <xdr:to>
      <xdr:col>13</xdr:col>
      <xdr:colOff>457200</xdr:colOff>
      <xdr:row>46</xdr:row>
      <xdr:rowOff>129540</xdr:rowOff>
    </xdr:to>
    <xdr:graphicFrame macro="">
      <xdr:nvGraphicFramePr>
        <xdr:cNvPr id="14" name="Chart 13">
          <a:extLst>
            <a:ext uri="{FF2B5EF4-FFF2-40B4-BE49-F238E27FC236}">
              <a16:creationId xmlns:a16="http://schemas.microsoft.com/office/drawing/2014/main" id="{10449A72-7DB7-43E5-A37E-B98CD92857F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13</xdr:col>
      <xdr:colOff>502920</xdr:colOff>
      <xdr:row>34</xdr:row>
      <xdr:rowOff>45720</xdr:rowOff>
    </xdr:from>
    <xdr:to>
      <xdr:col>20</xdr:col>
      <xdr:colOff>327660</xdr:colOff>
      <xdr:row>46</xdr:row>
      <xdr:rowOff>121920</xdr:rowOff>
    </xdr:to>
    <xdr:graphicFrame macro="">
      <xdr:nvGraphicFramePr>
        <xdr:cNvPr id="15" name="Chart 14">
          <a:extLst>
            <a:ext uri="{FF2B5EF4-FFF2-40B4-BE49-F238E27FC236}">
              <a16:creationId xmlns:a16="http://schemas.microsoft.com/office/drawing/2014/main" id="{1FD6BBEB-D5EA-4C52-A296-C966C5E0F66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oneCell">
    <xdr:from>
      <xdr:col>17</xdr:col>
      <xdr:colOff>267568</xdr:colOff>
      <xdr:row>14</xdr:row>
      <xdr:rowOff>37907</xdr:rowOff>
    </xdr:from>
    <xdr:to>
      <xdr:col>20</xdr:col>
      <xdr:colOff>273355</xdr:colOff>
      <xdr:row>21</xdr:row>
      <xdr:rowOff>0</xdr:rowOff>
    </xdr:to>
    <mc:AlternateContent xmlns:mc="http://schemas.openxmlformats.org/markup-compatibility/2006">
      <mc:Choice xmlns:a14="http://schemas.microsoft.com/office/drawing/2010/main" Requires="a14">
        <xdr:graphicFrame macro="">
          <xdr:nvGraphicFramePr>
            <xdr:cNvPr id="16" name="State">
              <a:extLst>
                <a:ext uri="{FF2B5EF4-FFF2-40B4-BE49-F238E27FC236}">
                  <a16:creationId xmlns:a16="http://schemas.microsoft.com/office/drawing/2014/main" id="{C32CDF47-D822-51EE-43D3-CEF836F19B21}"/>
                </a:ext>
              </a:extLst>
            </xdr:cNvPr>
            <xdr:cNvGraphicFramePr/>
          </xdr:nvGraphicFramePr>
          <xdr:xfrm>
            <a:off x="0" y="0"/>
            <a:ext cx="0" cy="0"/>
          </xdr:xfrm>
          <a:graphic>
            <a:graphicData uri="http://schemas.microsoft.com/office/drawing/2010/slicer">
              <sle:slicer xmlns:sle="http://schemas.microsoft.com/office/drawing/2010/slicer" name="State"/>
            </a:graphicData>
          </a:graphic>
        </xdr:graphicFrame>
      </mc:Choice>
      <mc:Fallback>
        <xdr:sp macro="" textlink="">
          <xdr:nvSpPr>
            <xdr:cNvPr id="0" name=""/>
            <xdr:cNvSpPr>
              <a:spLocks noTextEdit="1"/>
            </xdr:cNvSpPr>
          </xdr:nvSpPr>
          <xdr:spPr>
            <a:xfrm>
              <a:off x="10586856" y="2569297"/>
              <a:ext cx="1826838" cy="122778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291018</xdr:colOff>
      <xdr:row>21</xdr:row>
      <xdr:rowOff>13128</xdr:rowOff>
    </xdr:from>
    <xdr:to>
      <xdr:col>23</xdr:col>
      <xdr:colOff>296806</xdr:colOff>
      <xdr:row>27</xdr:row>
      <xdr:rowOff>151059</xdr:rowOff>
    </xdr:to>
    <mc:AlternateContent xmlns:mc="http://schemas.openxmlformats.org/markup-compatibility/2006">
      <mc:Choice xmlns:a14="http://schemas.microsoft.com/office/drawing/2010/main" Requires="a14">
        <xdr:graphicFrame macro="">
          <xdr:nvGraphicFramePr>
            <xdr:cNvPr id="17" name="Facility">
              <a:extLst>
                <a:ext uri="{FF2B5EF4-FFF2-40B4-BE49-F238E27FC236}">
                  <a16:creationId xmlns:a16="http://schemas.microsoft.com/office/drawing/2014/main" id="{85AB5494-D5A5-5283-D342-78AEDA597B70}"/>
                </a:ext>
              </a:extLst>
            </xdr:cNvPr>
            <xdr:cNvGraphicFramePr/>
          </xdr:nvGraphicFramePr>
          <xdr:xfrm>
            <a:off x="0" y="0"/>
            <a:ext cx="0" cy="0"/>
          </xdr:xfrm>
          <a:graphic>
            <a:graphicData uri="http://schemas.microsoft.com/office/drawing/2010/slicer">
              <sle:slicer xmlns:sle="http://schemas.microsoft.com/office/drawing/2010/slicer" name="Facility"/>
            </a:graphicData>
          </a:graphic>
        </xdr:graphicFrame>
      </mc:Choice>
      <mc:Fallback>
        <xdr:sp macro="" textlink="">
          <xdr:nvSpPr>
            <xdr:cNvPr id="0" name=""/>
            <xdr:cNvSpPr>
              <a:spLocks noTextEdit="1"/>
            </xdr:cNvSpPr>
          </xdr:nvSpPr>
          <xdr:spPr>
            <a:xfrm>
              <a:off x="12431357" y="3810213"/>
              <a:ext cx="1826839" cy="122281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288636</xdr:colOff>
      <xdr:row>27</xdr:row>
      <xdr:rowOff>169163</xdr:rowOff>
    </xdr:from>
    <xdr:to>
      <xdr:col>23</xdr:col>
      <xdr:colOff>294423</xdr:colOff>
      <xdr:row>34</xdr:row>
      <xdr:rowOff>103322</xdr:rowOff>
    </xdr:to>
    <mc:AlternateContent xmlns:mc="http://schemas.openxmlformats.org/markup-compatibility/2006">
      <mc:Choice xmlns:a14="http://schemas.microsoft.com/office/drawing/2010/main" Requires="a14">
        <xdr:graphicFrame macro="">
          <xdr:nvGraphicFramePr>
            <xdr:cNvPr id="18" name="Maternal_Age">
              <a:extLst>
                <a:ext uri="{FF2B5EF4-FFF2-40B4-BE49-F238E27FC236}">
                  <a16:creationId xmlns:a16="http://schemas.microsoft.com/office/drawing/2014/main" id="{2737D684-C56E-3520-4028-297284B474C9}"/>
                </a:ext>
              </a:extLst>
            </xdr:cNvPr>
            <xdr:cNvGraphicFramePr/>
          </xdr:nvGraphicFramePr>
          <xdr:xfrm>
            <a:off x="0" y="0"/>
            <a:ext cx="0" cy="0"/>
          </xdr:xfrm>
          <a:graphic>
            <a:graphicData uri="http://schemas.microsoft.com/office/drawing/2010/slicer">
              <sle:slicer xmlns:sle="http://schemas.microsoft.com/office/drawing/2010/slicer" name="Maternal_Age"/>
            </a:graphicData>
          </a:graphic>
        </xdr:graphicFrame>
      </mc:Choice>
      <mc:Fallback>
        <xdr:sp macro="" textlink="">
          <xdr:nvSpPr>
            <xdr:cNvPr id="0" name=""/>
            <xdr:cNvSpPr>
              <a:spLocks noTextEdit="1"/>
            </xdr:cNvSpPr>
          </xdr:nvSpPr>
          <xdr:spPr>
            <a:xfrm>
              <a:off x="12428975" y="5051129"/>
              <a:ext cx="1826838" cy="119985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289849</xdr:colOff>
      <xdr:row>7</xdr:row>
      <xdr:rowOff>11959</xdr:rowOff>
    </xdr:from>
    <xdr:to>
      <xdr:col>20</xdr:col>
      <xdr:colOff>295636</xdr:colOff>
      <xdr:row>14</xdr:row>
      <xdr:rowOff>-1</xdr:rowOff>
    </xdr:to>
    <mc:AlternateContent xmlns:mc="http://schemas.openxmlformats.org/markup-compatibility/2006">
      <mc:Choice xmlns:a14="http://schemas.microsoft.com/office/drawing/2010/main" Requires="a14">
        <xdr:graphicFrame macro="">
          <xdr:nvGraphicFramePr>
            <xdr:cNvPr id="19" name="Age_Group">
              <a:extLst>
                <a:ext uri="{FF2B5EF4-FFF2-40B4-BE49-F238E27FC236}">
                  <a16:creationId xmlns:a16="http://schemas.microsoft.com/office/drawing/2014/main" id="{22163076-AA6F-1F87-E2E9-AD5C8993E776}"/>
                </a:ext>
              </a:extLst>
            </xdr:cNvPr>
            <xdr:cNvGraphicFramePr/>
          </xdr:nvGraphicFramePr>
          <xdr:xfrm>
            <a:off x="0" y="0"/>
            <a:ext cx="0" cy="0"/>
          </xdr:xfrm>
          <a:graphic>
            <a:graphicData uri="http://schemas.microsoft.com/office/drawing/2010/slicer">
              <sle:slicer xmlns:sle="http://schemas.microsoft.com/office/drawing/2010/slicer" name="Age_Group"/>
            </a:graphicData>
          </a:graphic>
        </xdr:graphicFrame>
      </mc:Choice>
      <mc:Fallback>
        <xdr:sp macro="" textlink="">
          <xdr:nvSpPr>
            <xdr:cNvPr id="0" name=""/>
            <xdr:cNvSpPr>
              <a:spLocks noTextEdit="1"/>
            </xdr:cNvSpPr>
          </xdr:nvSpPr>
          <xdr:spPr>
            <a:xfrm>
              <a:off x="10609137" y="1277654"/>
              <a:ext cx="1826838" cy="125373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c" refreshedDate="46302.636930324072" createdVersion="8" refreshedVersion="8" minRefreshableVersion="3" recordCount="150" xr:uid="{07ED45C7-C81A-406E-97C2-958FB1C95213}">
  <cacheSource type="worksheet">
    <worksheetSource name="MaternalHealth"/>
  </cacheSource>
  <cacheFields count="19">
    <cacheField name="Record_ID" numFmtId="0">
      <sharedItems/>
    </cacheField>
    <cacheField name="Delivery_Date" numFmtId="14">
      <sharedItems containsSemiMixedTypes="0" containsNonDate="0" containsDate="1" containsString="0" minDate="2024-01-04T00:00:00" maxDate="2026-01-03T00:00:00"/>
    </cacheField>
    <cacheField name="State" numFmtId="0">
      <sharedItems containsBlank="1" count="6">
        <s v="Anambra"/>
        <s v="Ebonyi"/>
        <s v="Abia"/>
        <s v="Imo"/>
        <s v="Enugu"/>
        <m u="1"/>
      </sharedItems>
    </cacheField>
    <cacheField name="LGA" numFmtId="0">
      <sharedItems containsBlank="1" count="21">
        <s v="Awka South"/>
        <s v="Ezza South"/>
        <s v="Ohafia"/>
        <s v="Umuahia North"/>
        <s v="Aba South"/>
        <s v="Orlu"/>
        <s v="Enugu South"/>
        <s v="Onitsha South"/>
        <s v="Okigwe"/>
        <s v="Udi"/>
        <s v="Enugu North"/>
        <s v="Abakaliki"/>
        <s v="Nnewi North"/>
        <s v="Owerri West"/>
        <s v="Afikpo North"/>
        <s v="Nsukka"/>
        <s v="Owerri Municipal"/>
        <s v="Idemili North"/>
        <s v="Isiala Ngwa North"/>
        <s v="Ohaukwu"/>
        <m u="1"/>
      </sharedItems>
    </cacheField>
    <cacheField name="Facility" numFmtId="0">
      <sharedItems containsBlank="1" count="7">
        <s v="St. Mary Hospital"/>
        <s v="Peace Medical Centre"/>
        <s v="Mother &amp; Child Clinic"/>
        <s v="General Hospital"/>
        <s v="Divine Grace Hospital"/>
        <s v="Federal Medical Centre"/>
        <m u="1"/>
      </sharedItems>
    </cacheField>
    <cacheField name="Maternal_Age" numFmtId="0">
      <sharedItems containsSemiMixedTypes="0" containsString="0" containsNumber="1" containsInteger="1" minValue="16" maxValue="47" count="24">
        <n v="31"/>
        <n v="27"/>
        <n v="26"/>
        <n v="36"/>
        <n v="29"/>
        <n v="25"/>
        <n v="22"/>
        <n v="32"/>
        <n v="30"/>
        <n v="16"/>
        <n v="35"/>
        <n v="33"/>
        <n v="21"/>
        <n v="19"/>
        <n v="39"/>
        <n v="34"/>
        <n v="24"/>
        <n v="40"/>
        <n v="47"/>
        <n v="28"/>
        <n v="23"/>
        <n v="38"/>
        <n v="20"/>
        <n v="18"/>
      </sharedItems>
    </cacheField>
    <cacheField name="Age_Group" numFmtId="0">
      <sharedItems count="6">
        <s v="30-34"/>
        <s v="25-29"/>
        <s v="35-40"/>
        <s v="18-24"/>
        <s v="40-45"/>
        <s v="45+"/>
      </sharedItems>
    </cacheField>
    <cacheField name="Gravidity" numFmtId="0">
      <sharedItems containsSemiMixedTypes="0" containsString="0" containsNumber="1" containsInteger="1" minValue="1" maxValue="7"/>
    </cacheField>
    <cacheField name="Parity" numFmtId="0">
      <sharedItems containsSemiMixedTypes="0" containsString="0" containsNumber="1" containsInteger="1" minValue="0" maxValue="6"/>
    </cacheField>
    <cacheField name="ANC_Visits" numFmtId="0">
      <sharedItems containsString="0" containsBlank="1" containsNumber="1" containsInteger="1" minValue="0" maxValue="14"/>
    </cacheField>
    <cacheField name="Dalivery_Mode" numFmtId="0">
      <sharedItems containsBlank="1" count="3">
        <s v="Vaginal"/>
        <s v="Caesarean Section"/>
        <m u="1"/>
      </sharedItems>
    </cacheField>
    <cacheField name="Birth_Outcome" numFmtId="0">
      <sharedItems containsBlank="1" count="4">
        <s v="Live Birth"/>
        <s v="Stillbirth"/>
        <s v="Neonatal Death"/>
        <m u="1"/>
      </sharedItems>
    </cacheField>
    <cacheField name="Birth_Weight_Kg" numFmtId="0">
      <sharedItems containsSemiMixedTypes="0" containsString="0" containsNumber="1" minValue="0.65" maxValue="4.2699999999999996"/>
    </cacheField>
    <cacheField name="Maternal_Complication" numFmtId="0">
      <sharedItems count="7">
        <s v="None"/>
        <s v="Pre-eclampsia"/>
        <s v="Postpartum Hemorrhage"/>
        <s v="Gestational Diabetes"/>
        <s v="Eclampsia"/>
        <s v="Prolonged Labour"/>
        <s v="Infection"/>
      </sharedItems>
    </cacheField>
    <cacheField name="Maternal_Death" numFmtId="0">
      <sharedItems count="1">
        <s v="No"/>
      </sharedItems>
    </cacheField>
    <cacheField name="Delivery_Cost_NGN" numFmtId="0">
      <sharedItems containsSemiMixedTypes="0" containsString="0" containsNumber="1" containsInteger="1" minValue="15000" maxValue="206581"/>
    </cacheField>
    <cacheField name="Length_of_Stay_Days" numFmtId="0">
      <sharedItems containsSemiMixedTypes="0" containsString="0" containsNumber="1" containsInteger="1" minValue="1" maxValue="7"/>
    </cacheField>
    <cacheField name="Referral" numFmtId="0">
      <sharedItems containsBlank="1" count="4">
        <s v="No"/>
        <s v="Yes"/>
        <m u="1"/>
        <s v="No " u="1"/>
      </sharedItems>
    </cacheField>
    <cacheField name="ANC_Attended" numFmtId="0">
      <sharedItems count="2">
        <s v="Yes"/>
        <s v="No"/>
      </sharedItems>
    </cacheField>
  </cacheFields>
  <extLst>
    <ext xmlns:x14="http://schemas.microsoft.com/office/spreadsheetml/2009/9/main" uri="{725AE2AE-9491-48be-B2B4-4EB974FC3084}">
      <x14:pivotCacheDefinition pivotCacheId="164279398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50">
  <r>
    <s v="MH-0001"/>
    <d v="2025-07-14T00:00:00"/>
    <x v="0"/>
    <x v="0"/>
    <x v="0"/>
    <x v="0"/>
    <x v="0"/>
    <n v="6"/>
    <n v="2"/>
    <n v="4"/>
    <x v="0"/>
    <x v="0"/>
    <n v="3.46"/>
    <x v="0"/>
    <x v="0"/>
    <n v="103075"/>
    <n v="1"/>
    <x v="0"/>
    <x v="0"/>
  </r>
  <r>
    <s v="MH-0002"/>
    <d v="2025-10-29T00:00:00"/>
    <x v="1"/>
    <x v="1"/>
    <x v="1"/>
    <x v="1"/>
    <x v="1"/>
    <n v="1"/>
    <n v="0"/>
    <n v="8"/>
    <x v="0"/>
    <x v="0"/>
    <n v="3.52"/>
    <x v="0"/>
    <x v="0"/>
    <n v="53263"/>
    <n v="2"/>
    <x v="0"/>
    <x v="0"/>
  </r>
  <r>
    <s v="MH-0003"/>
    <d v="2025-12-17T00:00:00"/>
    <x v="1"/>
    <x v="1"/>
    <x v="2"/>
    <x v="2"/>
    <x v="1"/>
    <n v="2"/>
    <n v="1"/>
    <n v="4"/>
    <x v="0"/>
    <x v="0"/>
    <n v="3.23"/>
    <x v="0"/>
    <x v="0"/>
    <n v="17167"/>
    <n v="1"/>
    <x v="0"/>
    <x v="0"/>
  </r>
  <r>
    <s v="MH-0004"/>
    <d v="2024-12-20T00:00:00"/>
    <x v="2"/>
    <x v="2"/>
    <x v="3"/>
    <x v="2"/>
    <x v="1"/>
    <n v="2"/>
    <n v="0"/>
    <n v="2"/>
    <x v="1"/>
    <x v="0"/>
    <n v="3.27"/>
    <x v="0"/>
    <x v="0"/>
    <n v="122299"/>
    <n v="1"/>
    <x v="1"/>
    <x v="0"/>
  </r>
  <r>
    <s v="MH-0005"/>
    <d v="2025-10-07T00:00:00"/>
    <x v="2"/>
    <x v="3"/>
    <x v="3"/>
    <x v="3"/>
    <x v="2"/>
    <n v="6"/>
    <n v="3"/>
    <n v="4"/>
    <x v="0"/>
    <x v="1"/>
    <n v="3.14"/>
    <x v="1"/>
    <x v="0"/>
    <n v="29381"/>
    <n v="1"/>
    <x v="0"/>
    <x v="0"/>
  </r>
  <r>
    <s v="MH-0006"/>
    <d v="2024-08-28T00:00:00"/>
    <x v="2"/>
    <x v="4"/>
    <x v="0"/>
    <x v="4"/>
    <x v="1"/>
    <n v="6"/>
    <n v="0"/>
    <n v="2"/>
    <x v="0"/>
    <x v="0"/>
    <n v="3.31"/>
    <x v="0"/>
    <x v="0"/>
    <n v="49984"/>
    <n v="1"/>
    <x v="0"/>
    <x v="0"/>
  </r>
  <r>
    <s v="MH-0007"/>
    <d v="2024-03-16T00:00:00"/>
    <x v="3"/>
    <x v="5"/>
    <x v="3"/>
    <x v="5"/>
    <x v="1"/>
    <n v="4"/>
    <n v="2"/>
    <n v="8"/>
    <x v="0"/>
    <x v="0"/>
    <n v="3.09"/>
    <x v="2"/>
    <x v="0"/>
    <n v="38557"/>
    <n v="3"/>
    <x v="0"/>
    <x v="0"/>
  </r>
  <r>
    <s v="MH-0008"/>
    <d v="2024-02-29T00:00:00"/>
    <x v="4"/>
    <x v="6"/>
    <x v="4"/>
    <x v="6"/>
    <x v="3"/>
    <n v="2"/>
    <n v="1"/>
    <n v="5"/>
    <x v="0"/>
    <x v="2"/>
    <n v="2.02"/>
    <x v="2"/>
    <x v="0"/>
    <n v="31795"/>
    <n v="2"/>
    <x v="0"/>
    <x v="0"/>
  </r>
  <r>
    <s v="MH-0009"/>
    <d v="2024-08-07T00:00:00"/>
    <x v="0"/>
    <x v="7"/>
    <x v="1"/>
    <x v="7"/>
    <x v="0"/>
    <n v="4"/>
    <n v="2"/>
    <n v="5"/>
    <x v="0"/>
    <x v="0"/>
    <n v="3.04"/>
    <x v="0"/>
    <x v="0"/>
    <n v="57472"/>
    <n v="1"/>
    <x v="0"/>
    <x v="0"/>
  </r>
  <r>
    <s v="MH-0010"/>
    <d v="2025-08-23T00:00:00"/>
    <x v="3"/>
    <x v="8"/>
    <x v="2"/>
    <x v="5"/>
    <x v="1"/>
    <n v="6"/>
    <n v="3"/>
    <n v="4"/>
    <x v="1"/>
    <x v="0"/>
    <n v="3.68"/>
    <x v="0"/>
    <x v="0"/>
    <n v="73590"/>
    <n v="1"/>
    <x v="0"/>
    <x v="0"/>
  </r>
  <r>
    <s v="MH-0011"/>
    <d v="2024-04-24T00:00:00"/>
    <x v="1"/>
    <x v="1"/>
    <x v="0"/>
    <x v="8"/>
    <x v="0"/>
    <n v="3"/>
    <n v="1"/>
    <n v="4"/>
    <x v="1"/>
    <x v="0"/>
    <n v="2.73"/>
    <x v="0"/>
    <x v="0"/>
    <n v="160291"/>
    <n v="5"/>
    <x v="0"/>
    <x v="0"/>
  </r>
  <r>
    <s v="MH-0012"/>
    <d v="2025-07-22T00:00:00"/>
    <x v="4"/>
    <x v="9"/>
    <x v="0"/>
    <x v="9"/>
    <x v="3"/>
    <n v="5"/>
    <n v="0"/>
    <m/>
    <x v="0"/>
    <x v="0"/>
    <n v="2.93"/>
    <x v="0"/>
    <x v="0"/>
    <n v="55789"/>
    <n v="3"/>
    <x v="1"/>
    <x v="0"/>
  </r>
  <r>
    <s v="MH-0013"/>
    <d v="2024-09-28T00:00:00"/>
    <x v="0"/>
    <x v="7"/>
    <x v="3"/>
    <x v="2"/>
    <x v="1"/>
    <n v="7"/>
    <n v="5"/>
    <n v="4"/>
    <x v="0"/>
    <x v="0"/>
    <n v="2.4900000000000002"/>
    <x v="0"/>
    <x v="0"/>
    <n v="35094"/>
    <n v="3"/>
    <x v="1"/>
    <x v="0"/>
  </r>
  <r>
    <s v="MH-0014"/>
    <d v="2024-06-16T00:00:00"/>
    <x v="4"/>
    <x v="10"/>
    <x v="3"/>
    <x v="10"/>
    <x v="2"/>
    <n v="7"/>
    <n v="5"/>
    <n v="4"/>
    <x v="0"/>
    <x v="0"/>
    <n v="3.65"/>
    <x v="0"/>
    <x v="0"/>
    <n v="74040"/>
    <n v="1"/>
    <x v="1"/>
    <x v="0"/>
  </r>
  <r>
    <s v="MH-0015"/>
    <d v="2024-11-12T00:00:00"/>
    <x v="1"/>
    <x v="11"/>
    <x v="4"/>
    <x v="8"/>
    <x v="0"/>
    <n v="5"/>
    <n v="2"/>
    <n v="8"/>
    <x v="0"/>
    <x v="0"/>
    <n v="3.08"/>
    <x v="0"/>
    <x v="0"/>
    <n v="104116"/>
    <n v="1"/>
    <x v="0"/>
    <x v="0"/>
  </r>
  <r>
    <s v="MH-0016"/>
    <d v="2024-05-10T00:00:00"/>
    <x v="0"/>
    <x v="12"/>
    <x v="4"/>
    <x v="11"/>
    <x v="0"/>
    <n v="5"/>
    <n v="0"/>
    <n v="5"/>
    <x v="0"/>
    <x v="0"/>
    <n v="2.94"/>
    <x v="0"/>
    <x v="0"/>
    <n v="67294"/>
    <n v="1"/>
    <x v="0"/>
    <x v="0"/>
  </r>
  <r>
    <s v="MH-0017"/>
    <d v="2026-01-02T00:00:00"/>
    <x v="3"/>
    <x v="13"/>
    <x v="5"/>
    <x v="1"/>
    <x v="1"/>
    <n v="3"/>
    <n v="3"/>
    <n v="5"/>
    <x v="1"/>
    <x v="0"/>
    <n v="3.91"/>
    <x v="0"/>
    <x v="0"/>
    <n v="132043"/>
    <n v="2"/>
    <x v="0"/>
    <x v="0"/>
  </r>
  <r>
    <s v="MH-0018"/>
    <d v="2025-07-23T00:00:00"/>
    <x v="3"/>
    <x v="5"/>
    <x v="4"/>
    <x v="2"/>
    <x v="1"/>
    <n v="4"/>
    <n v="4"/>
    <n v="6"/>
    <x v="0"/>
    <x v="0"/>
    <n v="3.28"/>
    <x v="0"/>
    <x v="0"/>
    <n v="51755"/>
    <n v="2"/>
    <x v="1"/>
    <x v="0"/>
  </r>
  <r>
    <s v="MH-0019"/>
    <d v="2024-12-06T00:00:00"/>
    <x v="1"/>
    <x v="14"/>
    <x v="0"/>
    <x v="4"/>
    <x v="1"/>
    <n v="1"/>
    <n v="0"/>
    <n v="6"/>
    <x v="1"/>
    <x v="0"/>
    <n v="2.71"/>
    <x v="0"/>
    <x v="0"/>
    <n v="136808"/>
    <n v="3"/>
    <x v="1"/>
    <x v="0"/>
  </r>
  <r>
    <s v="MH-0020"/>
    <d v="2025-05-01T00:00:00"/>
    <x v="1"/>
    <x v="14"/>
    <x v="4"/>
    <x v="12"/>
    <x v="3"/>
    <n v="3"/>
    <n v="3"/>
    <n v="5"/>
    <x v="0"/>
    <x v="0"/>
    <n v="3.24"/>
    <x v="3"/>
    <x v="0"/>
    <n v="65127"/>
    <n v="1"/>
    <x v="0"/>
    <x v="0"/>
  </r>
  <r>
    <s v="MH-0021"/>
    <d v="2024-02-27T00:00:00"/>
    <x v="3"/>
    <x v="8"/>
    <x v="1"/>
    <x v="12"/>
    <x v="3"/>
    <n v="2"/>
    <n v="0"/>
    <n v="4"/>
    <x v="0"/>
    <x v="0"/>
    <n v="2.91"/>
    <x v="0"/>
    <x v="0"/>
    <n v="44943"/>
    <n v="1"/>
    <x v="0"/>
    <x v="0"/>
  </r>
  <r>
    <s v="MH-0022"/>
    <d v="2024-05-25T00:00:00"/>
    <x v="0"/>
    <x v="0"/>
    <x v="2"/>
    <x v="0"/>
    <x v="0"/>
    <n v="4"/>
    <n v="2"/>
    <n v="8"/>
    <x v="1"/>
    <x v="0"/>
    <n v="3.2"/>
    <x v="0"/>
    <x v="0"/>
    <n v="151438"/>
    <n v="3"/>
    <x v="0"/>
    <x v="0"/>
  </r>
  <r>
    <s v="MH-0023"/>
    <d v="2025-10-31T00:00:00"/>
    <x v="4"/>
    <x v="15"/>
    <x v="3"/>
    <x v="13"/>
    <x v="3"/>
    <n v="4"/>
    <n v="1"/>
    <n v="4"/>
    <x v="1"/>
    <x v="0"/>
    <n v="3.13"/>
    <x v="4"/>
    <x v="0"/>
    <n v="206581"/>
    <n v="3"/>
    <x v="1"/>
    <x v="0"/>
  </r>
  <r>
    <s v="MH-0024"/>
    <d v="2024-03-03T00:00:00"/>
    <x v="0"/>
    <x v="0"/>
    <x v="4"/>
    <x v="8"/>
    <x v="0"/>
    <n v="7"/>
    <n v="1"/>
    <n v="4"/>
    <x v="0"/>
    <x v="0"/>
    <n v="2.46"/>
    <x v="0"/>
    <x v="0"/>
    <n v="93570"/>
    <n v="3"/>
    <x v="0"/>
    <x v="0"/>
  </r>
  <r>
    <s v="MH-0025"/>
    <d v="2025-07-25T00:00:00"/>
    <x v="3"/>
    <x v="16"/>
    <x v="1"/>
    <x v="7"/>
    <x v="0"/>
    <n v="4"/>
    <n v="2"/>
    <n v="3"/>
    <x v="1"/>
    <x v="0"/>
    <n v="3.87"/>
    <x v="0"/>
    <x v="0"/>
    <n v="109953"/>
    <n v="4"/>
    <x v="0"/>
    <x v="0"/>
  </r>
  <r>
    <s v="MH-0026"/>
    <d v="2024-11-19T00:00:00"/>
    <x v="3"/>
    <x v="13"/>
    <x v="0"/>
    <x v="14"/>
    <x v="2"/>
    <n v="2"/>
    <n v="1"/>
    <n v="3"/>
    <x v="0"/>
    <x v="0"/>
    <n v="2.79"/>
    <x v="1"/>
    <x v="0"/>
    <n v="67491"/>
    <n v="1"/>
    <x v="1"/>
    <x v="0"/>
  </r>
  <r>
    <s v="MH-0027"/>
    <d v="2025-09-03T00:00:00"/>
    <x v="0"/>
    <x v="17"/>
    <x v="0"/>
    <x v="15"/>
    <x v="0"/>
    <n v="5"/>
    <n v="4"/>
    <n v="5"/>
    <x v="0"/>
    <x v="1"/>
    <n v="2.52"/>
    <x v="0"/>
    <x v="0"/>
    <n v="76839"/>
    <n v="1"/>
    <x v="0"/>
    <x v="0"/>
  </r>
  <r>
    <s v="MH-0028"/>
    <d v="2025-08-03T00:00:00"/>
    <x v="4"/>
    <x v="9"/>
    <x v="3"/>
    <x v="3"/>
    <x v="2"/>
    <n v="1"/>
    <n v="0"/>
    <n v="3"/>
    <x v="0"/>
    <x v="0"/>
    <n v="2.92"/>
    <x v="0"/>
    <x v="0"/>
    <n v="85337"/>
    <n v="1"/>
    <x v="0"/>
    <x v="0"/>
  </r>
  <r>
    <s v="MH-0029"/>
    <d v="2024-11-05T00:00:00"/>
    <x v="2"/>
    <x v="2"/>
    <x v="2"/>
    <x v="8"/>
    <x v="0"/>
    <n v="2"/>
    <n v="2"/>
    <n v="7"/>
    <x v="1"/>
    <x v="0"/>
    <n v="2.2200000000000002"/>
    <x v="0"/>
    <x v="0"/>
    <n v="149615"/>
    <n v="4"/>
    <x v="0"/>
    <x v="0"/>
  </r>
  <r>
    <s v="MH-0030"/>
    <d v="2025-06-04T00:00:00"/>
    <x v="2"/>
    <x v="3"/>
    <x v="5"/>
    <x v="7"/>
    <x v="0"/>
    <n v="1"/>
    <n v="1"/>
    <n v="2"/>
    <x v="0"/>
    <x v="0"/>
    <n v="2.37"/>
    <x v="0"/>
    <x v="0"/>
    <n v="78048"/>
    <n v="2"/>
    <x v="0"/>
    <x v="0"/>
  </r>
  <r>
    <s v="MH-0031"/>
    <d v="2025-09-20T00:00:00"/>
    <x v="4"/>
    <x v="15"/>
    <x v="1"/>
    <x v="8"/>
    <x v="0"/>
    <n v="1"/>
    <n v="0"/>
    <n v="5"/>
    <x v="0"/>
    <x v="0"/>
    <n v="2.73"/>
    <x v="5"/>
    <x v="0"/>
    <n v="70806"/>
    <n v="2"/>
    <x v="0"/>
    <x v="0"/>
  </r>
  <r>
    <s v="MH-0032"/>
    <d v="2024-04-30T00:00:00"/>
    <x v="1"/>
    <x v="11"/>
    <x v="0"/>
    <x v="5"/>
    <x v="1"/>
    <n v="6"/>
    <n v="4"/>
    <n v="8"/>
    <x v="0"/>
    <x v="0"/>
    <n v="3.36"/>
    <x v="3"/>
    <x v="0"/>
    <n v="35217"/>
    <n v="2"/>
    <x v="1"/>
    <x v="0"/>
  </r>
  <r>
    <s v="MH-0033"/>
    <d v="2024-09-29T00:00:00"/>
    <x v="1"/>
    <x v="14"/>
    <x v="3"/>
    <x v="16"/>
    <x v="3"/>
    <n v="3"/>
    <n v="2"/>
    <n v="6"/>
    <x v="0"/>
    <x v="0"/>
    <n v="3.74"/>
    <x v="0"/>
    <x v="0"/>
    <n v="44482"/>
    <n v="3"/>
    <x v="0"/>
    <x v="0"/>
  </r>
  <r>
    <s v="MH-0034"/>
    <d v="2024-05-15T00:00:00"/>
    <x v="3"/>
    <x v="5"/>
    <x v="1"/>
    <x v="0"/>
    <x v="0"/>
    <n v="7"/>
    <n v="0"/>
    <n v="6"/>
    <x v="0"/>
    <x v="0"/>
    <n v="4.1399999999999997"/>
    <x v="0"/>
    <x v="0"/>
    <n v="58865"/>
    <n v="1"/>
    <x v="1"/>
    <x v="0"/>
  </r>
  <r>
    <s v="MH-0035"/>
    <d v="2025-12-10T00:00:00"/>
    <x v="2"/>
    <x v="4"/>
    <x v="4"/>
    <x v="16"/>
    <x v="3"/>
    <n v="6"/>
    <n v="3"/>
    <m/>
    <x v="0"/>
    <x v="0"/>
    <n v="3.06"/>
    <x v="0"/>
    <x v="0"/>
    <n v="73528"/>
    <n v="2"/>
    <x v="1"/>
    <x v="0"/>
  </r>
  <r>
    <s v="MH-0036"/>
    <d v="2024-02-12T00:00:00"/>
    <x v="1"/>
    <x v="11"/>
    <x v="5"/>
    <x v="11"/>
    <x v="0"/>
    <n v="7"/>
    <n v="2"/>
    <n v="5"/>
    <x v="0"/>
    <x v="0"/>
    <n v="3.9"/>
    <x v="0"/>
    <x v="0"/>
    <n v="58383"/>
    <n v="6"/>
    <x v="0"/>
    <x v="0"/>
  </r>
  <r>
    <s v="MH-0037"/>
    <d v="2024-06-09T00:00:00"/>
    <x v="4"/>
    <x v="6"/>
    <x v="4"/>
    <x v="7"/>
    <x v="0"/>
    <n v="6"/>
    <n v="0"/>
    <n v="3"/>
    <x v="0"/>
    <x v="0"/>
    <n v="2.5099999999999998"/>
    <x v="0"/>
    <x v="0"/>
    <n v="77061"/>
    <n v="1"/>
    <x v="0"/>
    <x v="0"/>
  </r>
  <r>
    <s v="MH-0038"/>
    <d v="2025-11-18T00:00:00"/>
    <x v="4"/>
    <x v="6"/>
    <x v="1"/>
    <x v="7"/>
    <x v="0"/>
    <n v="4"/>
    <n v="0"/>
    <n v="5"/>
    <x v="0"/>
    <x v="0"/>
    <n v="3.06"/>
    <x v="1"/>
    <x v="0"/>
    <n v="43830"/>
    <n v="1"/>
    <x v="0"/>
    <x v="0"/>
  </r>
  <r>
    <s v="MH-0039"/>
    <d v="2025-04-18T00:00:00"/>
    <x v="4"/>
    <x v="15"/>
    <x v="5"/>
    <x v="2"/>
    <x v="1"/>
    <n v="2"/>
    <n v="2"/>
    <n v="6"/>
    <x v="1"/>
    <x v="0"/>
    <n v="3.22"/>
    <x v="5"/>
    <x v="0"/>
    <n v="33856"/>
    <n v="2"/>
    <x v="0"/>
    <x v="0"/>
  </r>
  <r>
    <s v="MH-0040"/>
    <d v="2024-10-14T00:00:00"/>
    <x v="2"/>
    <x v="4"/>
    <x v="5"/>
    <x v="8"/>
    <x v="0"/>
    <n v="2"/>
    <n v="0"/>
    <n v="3"/>
    <x v="0"/>
    <x v="0"/>
    <n v="3.18"/>
    <x v="0"/>
    <x v="0"/>
    <n v="66455"/>
    <n v="1"/>
    <x v="1"/>
    <x v="0"/>
  </r>
  <r>
    <s v="MH-0041"/>
    <d v="2025-08-19T00:00:00"/>
    <x v="1"/>
    <x v="1"/>
    <x v="5"/>
    <x v="8"/>
    <x v="0"/>
    <n v="6"/>
    <n v="4"/>
    <n v="6"/>
    <x v="0"/>
    <x v="0"/>
    <n v="3.7"/>
    <x v="5"/>
    <x v="0"/>
    <n v="91345"/>
    <n v="1"/>
    <x v="0"/>
    <x v="0"/>
  </r>
  <r>
    <s v="MH-0042"/>
    <d v="2024-04-30T00:00:00"/>
    <x v="0"/>
    <x v="0"/>
    <x v="2"/>
    <x v="16"/>
    <x v="3"/>
    <n v="5"/>
    <n v="3"/>
    <n v="6"/>
    <x v="0"/>
    <x v="0"/>
    <n v="3.38"/>
    <x v="0"/>
    <x v="0"/>
    <n v="77876"/>
    <n v="7"/>
    <x v="0"/>
    <x v="0"/>
  </r>
  <r>
    <s v="MH-0043"/>
    <d v="2025-11-19T00:00:00"/>
    <x v="1"/>
    <x v="14"/>
    <x v="4"/>
    <x v="0"/>
    <x v="0"/>
    <n v="3"/>
    <n v="0"/>
    <n v="7"/>
    <x v="1"/>
    <x v="0"/>
    <n v="3.62"/>
    <x v="3"/>
    <x v="0"/>
    <n v="161284"/>
    <n v="3"/>
    <x v="0"/>
    <x v="0"/>
  </r>
  <r>
    <s v="MH-0044"/>
    <d v="2025-06-05T00:00:00"/>
    <x v="2"/>
    <x v="18"/>
    <x v="5"/>
    <x v="7"/>
    <x v="0"/>
    <n v="1"/>
    <n v="1"/>
    <n v="3"/>
    <x v="0"/>
    <x v="0"/>
    <n v="2.97"/>
    <x v="0"/>
    <x v="0"/>
    <n v="52865"/>
    <n v="2"/>
    <x v="0"/>
    <x v="0"/>
  </r>
  <r>
    <s v="MH-0045"/>
    <d v="2024-06-29T00:00:00"/>
    <x v="3"/>
    <x v="5"/>
    <x v="3"/>
    <x v="17"/>
    <x v="4"/>
    <n v="4"/>
    <n v="2"/>
    <n v="1"/>
    <x v="0"/>
    <x v="0"/>
    <n v="3.5"/>
    <x v="2"/>
    <x v="0"/>
    <n v="24682"/>
    <n v="1"/>
    <x v="0"/>
    <x v="0"/>
  </r>
  <r>
    <s v="MH-0046"/>
    <d v="2025-09-15T00:00:00"/>
    <x v="1"/>
    <x v="19"/>
    <x v="1"/>
    <x v="15"/>
    <x v="0"/>
    <n v="4"/>
    <n v="4"/>
    <n v="5"/>
    <x v="1"/>
    <x v="0"/>
    <n v="2.5099999999999998"/>
    <x v="0"/>
    <x v="0"/>
    <n v="127117"/>
    <n v="5"/>
    <x v="0"/>
    <x v="0"/>
  </r>
  <r>
    <s v="MH-0047"/>
    <d v="2025-11-07T00:00:00"/>
    <x v="2"/>
    <x v="18"/>
    <x v="0"/>
    <x v="5"/>
    <x v="1"/>
    <n v="4"/>
    <n v="3"/>
    <n v="5"/>
    <x v="0"/>
    <x v="0"/>
    <n v="3.5"/>
    <x v="4"/>
    <x v="0"/>
    <n v="48709"/>
    <n v="5"/>
    <x v="0"/>
    <x v="0"/>
  </r>
  <r>
    <s v="MH-0048"/>
    <d v="2024-09-09T00:00:00"/>
    <x v="2"/>
    <x v="2"/>
    <x v="2"/>
    <x v="7"/>
    <x v="0"/>
    <n v="1"/>
    <n v="0"/>
    <n v="0"/>
    <x v="0"/>
    <x v="0"/>
    <n v="3.2"/>
    <x v="0"/>
    <x v="0"/>
    <n v="48455"/>
    <n v="3"/>
    <x v="1"/>
    <x v="1"/>
  </r>
  <r>
    <s v="MH-0049"/>
    <d v="2025-02-15T00:00:00"/>
    <x v="1"/>
    <x v="11"/>
    <x v="4"/>
    <x v="5"/>
    <x v="1"/>
    <n v="4"/>
    <n v="3"/>
    <n v="4"/>
    <x v="1"/>
    <x v="0"/>
    <n v="3.38"/>
    <x v="1"/>
    <x v="0"/>
    <n v="166643"/>
    <n v="2"/>
    <x v="0"/>
    <x v="0"/>
  </r>
  <r>
    <s v="MH-0050"/>
    <d v="2025-07-26T00:00:00"/>
    <x v="4"/>
    <x v="10"/>
    <x v="4"/>
    <x v="1"/>
    <x v="1"/>
    <n v="7"/>
    <n v="0"/>
    <n v="4"/>
    <x v="1"/>
    <x v="0"/>
    <n v="2.74"/>
    <x v="4"/>
    <x v="0"/>
    <n v="189136"/>
    <n v="4"/>
    <x v="0"/>
    <x v="0"/>
  </r>
  <r>
    <s v="MH-0051"/>
    <d v="2025-03-31T00:00:00"/>
    <x v="0"/>
    <x v="17"/>
    <x v="3"/>
    <x v="6"/>
    <x v="3"/>
    <n v="2"/>
    <n v="1"/>
    <n v="6"/>
    <x v="0"/>
    <x v="2"/>
    <n v="4.2699999999999996"/>
    <x v="0"/>
    <x v="0"/>
    <n v="90811"/>
    <n v="1"/>
    <x v="0"/>
    <x v="0"/>
  </r>
  <r>
    <s v="MH-0052"/>
    <d v="2024-09-12T00:00:00"/>
    <x v="1"/>
    <x v="1"/>
    <x v="0"/>
    <x v="2"/>
    <x v="1"/>
    <n v="7"/>
    <n v="4"/>
    <n v="7"/>
    <x v="0"/>
    <x v="0"/>
    <n v="2.71"/>
    <x v="5"/>
    <x v="0"/>
    <n v="55789"/>
    <n v="3"/>
    <x v="0"/>
    <x v="0"/>
  </r>
  <r>
    <s v="MH-0053"/>
    <d v="2024-11-25T00:00:00"/>
    <x v="2"/>
    <x v="18"/>
    <x v="3"/>
    <x v="16"/>
    <x v="3"/>
    <n v="6"/>
    <n v="1"/>
    <n v="4"/>
    <x v="0"/>
    <x v="0"/>
    <n v="1.32"/>
    <x v="0"/>
    <x v="0"/>
    <n v="39390"/>
    <n v="1"/>
    <x v="0"/>
    <x v="0"/>
  </r>
  <r>
    <s v="MH-0054"/>
    <d v="2024-12-06T00:00:00"/>
    <x v="0"/>
    <x v="12"/>
    <x v="3"/>
    <x v="6"/>
    <x v="3"/>
    <n v="2"/>
    <n v="0"/>
    <n v="8"/>
    <x v="0"/>
    <x v="0"/>
    <n v="2.31"/>
    <x v="0"/>
    <x v="0"/>
    <n v="53998"/>
    <n v="2"/>
    <x v="0"/>
    <x v="0"/>
  </r>
  <r>
    <s v="MH-0055"/>
    <d v="2024-01-23T00:00:00"/>
    <x v="3"/>
    <x v="8"/>
    <x v="3"/>
    <x v="3"/>
    <x v="2"/>
    <n v="1"/>
    <n v="0"/>
    <n v="2"/>
    <x v="1"/>
    <x v="0"/>
    <n v="3.74"/>
    <x v="1"/>
    <x v="0"/>
    <n v="145255"/>
    <n v="2"/>
    <x v="0"/>
    <x v="0"/>
  </r>
  <r>
    <s v="MH-0056"/>
    <d v="2025-07-07T00:00:00"/>
    <x v="3"/>
    <x v="8"/>
    <x v="1"/>
    <x v="0"/>
    <x v="0"/>
    <n v="1"/>
    <n v="1"/>
    <n v="5"/>
    <x v="0"/>
    <x v="0"/>
    <n v="2.77"/>
    <x v="5"/>
    <x v="0"/>
    <n v="66745"/>
    <n v="1"/>
    <x v="0"/>
    <x v="0"/>
  </r>
  <r>
    <s v="MH-0057"/>
    <d v="2025-02-20T00:00:00"/>
    <x v="1"/>
    <x v="14"/>
    <x v="1"/>
    <x v="4"/>
    <x v="1"/>
    <n v="4"/>
    <n v="1"/>
    <n v="6"/>
    <x v="0"/>
    <x v="0"/>
    <n v="3.97"/>
    <x v="0"/>
    <x v="0"/>
    <n v="34054"/>
    <n v="5"/>
    <x v="0"/>
    <x v="0"/>
  </r>
  <r>
    <s v="MH-0058"/>
    <d v="2024-03-28T00:00:00"/>
    <x v="4"/>
    <x v="9"/>
    <x v="1"/>
    <x v="18"/>
    <x v="5"/>
    <n v="2"/>
    <n v="2"/>
    <n v="4"/>
    <x v="0"/>
    <x v="0"/>
    <n v="3.42"/>
    <x v="0"/>
    <x v="0"/>
    <n v="72024"/>
    <n v="1"/>
    <x v="0"/>
    <x v="0"/>
  </r>
  <r>
    <s v="MH-0059"/>
    <d v="2024-12-13T00:00:00"/>
    <x v="3"/>
    <x v="13"/>
    <x v="2"/>
    <x v="1"/>
    <x v="1"/>
    <n v="7"/>
    <n v="3"/>
    <n v="4"/>
    <x v="0"/>
    <x v="0"/>
    <n v="2.78"/>
    <x v="0"/>
    <x v="0"/>
    <n v="86240"/>
    <n v="2"/>
    <x v="0"/>
    <x v="0"/>
  </r>
  <r>
    <s v="MH-0060"/>
    <d v="2024-08-19T00:00:00"/>
    <x v="2"/>
    <x v="18"/>
    <x v="1"/>
    <x v="5"/>
    <x v="1"/>
    <n v="3"/>
    <n v="0"/>
    <n v="6"/>
    <x v="0"/>
    <x v="0"/>
    <n v="3.27"/>
    <x v="0"/>
    <x v="0"/>
    <n v="85321"/>
    <n v="2"/>
    <x v="0"/>
    <x v="0"/>
  </r>
  <r>
    <s v="MH-0061"/>
    <d v="2024-05-11T00:00:00"/>
    <x v="0"/>
    <x v="0"/>
    <x v="2"/>
    <x v="16"/>
    <x v="3"/>
    <n v="7"/>
    <n v="0"/>
    <n v="3"/>
    <x v="1"/>
    <x v="0"/>
    <n v="3.51"/>
    <x v="0"/>
    <x v="0"/>
    <n v="160259"/>
    <n v="3"/>
    <x v="1"/>
    <x v="0"/>
  </r>
  <r>
    <s v="MH-0062"/>
    <d v="2024-04-29T00:00:00"/>
    <x v="0"/>
    <x v="12"/>
    <x v="4"/>
    <x v="4"/>
    <x v="1"/>
    <n v="4"/>
    <n v="2"/>
    <n v="7"/>
    <x v="1"/>
    <x v="0"/>
    <n v="2.77"/>
    <x v="2"/>
    <x v="0"/>
    <n v="158677"/>
    <n v="3"/>
    <x v="0"/>
    <x v="0"/>
  </r>
  <r>
    <s v="MH-0063"/>
    <d v="2024-07-24T00:00:00"/>
    <x v="2"/>
    <x v="3"/>
    <x v="0"/>
    <x v="1"/>
    <x v="1"/>
    <n v="5"/>
    <n v="0"/>
    <n v="7"/>
    <x v="1"/>
    <x v="0"/>
    <n v="3.55"/>
    <x v="5"/>
    <x v="0"/>
    <n v="165337"/>
    <n v="5"/>
    <x v="0"/>
    <x v="0"/>
  </r>
  <r>
    <s v="MH-0064"/>
    <d v="2024-02-14T00:00:00"/>
    <x v="1"/>
    <x v="14"/>
    <x v="5"/>
    <x v="4"/>
    <x v="1"/>
    <n v="1"/>
    <n v="1"/>
    <n v="6"/>
    <x v="1"/>
    <x v="0"/>
    <n v="2.93"/>
    <x v="0"/>
    <x v="0"/>
    <n v="153104"/>
    <n v="3"/>
    <x v="0"/>
    <x v="0"/>
  </r>
  <r>
    <s v="MH-0065"/>
    <d v="2025-05-18T00:00:00"/>
    <x v="1"/>
    <x v="1"/>
    <x v="0"/>
    <x v="4"/>
    <x v="1"/>
    <n v="6"/>
    <n v="2"/>
    <n v="6"/>
    <x v="0"/>
    <x v="0"/>
    <n v="2.65"/>
    <x v="0"/>
    <x v="0"/>
    <n v="117309"/>
    <n v="1"/>
    <x v="0"/>
    <x v="0"/>
  </r>
  <r>
    <s v="MH-0066"/>
    <d v="2024-10-05T00:00:00"/>
    <x v="3"/>
    <x v="5"/>
    <x v="3"/>
    <x v="6"/>
    <x v="3"/>
    <n v="6"/>
    <n v="3"/>
    <n v="7"/>
    <x v="0"/>
    <x v="0"/>
    <n v="3.54"/>
    <x v="1"/>
    <x v="0"/>
    <n v="160602"/>
    <n v="4"/>
    <x v="0"/>
    <x v="0"/>
  </r>
  <r>
    <s v="MH-0067"/>
    <d v="2024-03-31T00:00:00"/>
    <x v="1"/>
    <x v="1"/>
    <x v="5"/>
    <x v="19"/>
    <x v="1"/>
    <n v="4"/>
    <n v="3"/>
    <n v="3"/>
    <x v="1"/>
    <x v="0"/>
    <n v="3.14"/>
    <x v="0"/>
    <x v="0"/>
    <n v="128070"/>
    <n v="5"/>
    <x v="0"/>
    <x v="0"/>
  </r>
  <r>
    <s v="MH-0068"/>
    <d v="2024-11-30T00:00:00"/>
    <x v="3"/>
    <x v="13"/>
    <x v="4"/>
    <x v="19"/>
    <x v="1"/>
    <n v="7"/>
    <n v="3"/>
    <n v="3"/>
    <x v="0"/>
    <x v="0"/>
    <n v="2.92"/>
    <x v="0"/>
    <x v="0"/>
    <n v="75323"/>
    <n v="1"/>
    <x v="0"/>
    <x v="0"/>
  </r>
  <r>
    <s v="MH-0069"/>
    <d v="2024-07-16T00:00:00"/>
    <x v="3"/>
    <x v="13"/>
    <x v="0"/>
    <x v="16"/>
    <x v="3"/>
    <n v="3"/>
    <n v="2"/>
    <n v="5"/>
    <x v="0"/>
    <x v="0"/>
    <n v="3.23"/>
    <x v="2"/>
    <x v="0"/>
    <n v="52326"/>
    <n v="1"/>
    <x v="1"/>
    <x v="0"/>
  </r>
  <r>
    <s v="MH-0070"/>
    <d v="2024-07-04T00:00:00"/>
    <x v="4"/>
    <x v="9"/>
    <x v="5"/>
    <x v="8"/>
    <x v="0"/>
    <n v="4"/>
    <n v="4"/>
    <n v="2"/>
    <x v="1"/>
    <x v="0"/>
    <n v="2.33"/>
    <x v="2"/>
    <x v="0"/>
    <n v="127038"/>
    <n v="3"/>
    <x v="0"/>
    <x v="0"/>
  </r>
  <r>
    <s v="MH-0071"/>
    <d v="2025-03-13T00:00:00"/>
    <x v="4"/>
    <x v="9"/>
    <x v="1"/>
    <x v="8"/>
    <x v="0"/>
    <n v="6"/>
    <n v="1"/>
    <n v="7"/>
    <x v="0"/>
    <x v="0"/>
    <n v="3.57"/>
    <x v="0"/>
    <x v="0"/>
    <n v="61001"/>
    <n v="1"/>
    <x v="0"/>
    <x v="0"/>
  </r>
  <r>
    <s v="MH-0072"/>
    <d v="2024-05-04T00:00:00"/>
    <x v="1"/>
    <x v="19"/>
    <x v="1"/>
    <x v="20"/>
    <x v="3"/>
    <n v="3"/>
    <n v="3"/>
    <n v="4"/>
    <x v="0"/>
    <x v="0"/>
    <n v="2.94"/>
    <x v="0"/>
    <x v="0"/>
    <n v="73067"/>
    <n v="1"/>
    <x v="0"/>
    <x v="0"/>
  </r>
  <r>
    <s v="MH-0073"/>
    <d v="2025-09-05T00:00:00"/>
    <x v="1"/>
    <x v="14"/>
    <x v="5"/>
    <x v="0"/>
    <x v="0"/>
    <n v="2"/>
    <n v="0"/>
    <n v="8"/>
    <x v="1"/>
    <x v="0"/>
    <n v="3.04"/>
    <x v="0"/>
    <x v="0"/>
    <n v="155042"/>
    <n v="5"/>
    <x v="0"/>
    <x v="0"/>
  </r>
  <r>
    <s v="MH-0074"/>
    <d v="2024-02-27T00:00:00"/>
    <x v="0"/>
    <x v="12"/>
    <x v="3"/>
    <x v="2"/>
    <x v="1"/>
    <n v="3"/>
    <n v="1"/>
    <n v="5"/>
    <x v="1"/>
    <x v="0"/>
    <n v="3.11"/>
    <x v="2"/>
    <x v="0"/>
    <n v="67441"/>
    <n v="1"/>
    <x v="1"/>
    <x v="0"/>
  </r>
  <r>
    <s v="MH-0075"/>
    <d v="2024-12-16T00:00:00"/>
    <x v="2"/>
    <x v="4"/>
    <x v="4"/>
    <x v="4"/>
    <x v="1"/>
    <n v="6"/>
    <n v="3"/>
    <n v="5"/>
    <x v="0"/>
    <x v="0"/>
    <n v="3.9"/>
    <x v="0"/>
    <x v="0"/>
    <n v="88981"/>
    <n v="5"/>
    <x v="0"/>
    <x v="0"/>
  </r>
  <r>
    <s v="MH-0076"/>
    <d v="2025-12-05T00:00:00"/>
    <x v="0"/>
    <x v="7"/>
    <x v="0"/>
    <x v="5"/>
    <x v="1"/>
    <n v="7"/>
    <n v="3"/>
    <n v="6"/>
    <x v="0"/>
    <x v="0"/>
    <n v="3.2"/>
    <x v="0"/>
    <x v="0"/>
    <n v="55789"/>
    <n v="1"/>
    <x v="0"/>
    <x v="0"/>
  </r>
  <r>
    <s v="MH-0077"/>
    <d v="2025-03-04T00:00:00"/>
    <x v="4"/>
    <x v="6"/>
    <x v="3"/>
    <x v="16"/>
    <x v="3"/>
    <n v="7"/>
    <n v="4"/>
    <n v="3"/>
    <x v="1"/>
    <x v="0"/>
    <n v="1.93"/>
    <x v="0"/>
    <x v="0"/>
    <n v="131856"/>
    <n v="2"/>
    <x v="0"/>
    <x v="0"/>
  </r>
  <r>
    <s v="MH-0078"/>
    <d v="2025-03-17T00:00:00"/>
    <x v="1"/>
    <x v="14"/>
    <x v="5"/>
    <x v="4"/>
    <x v="1"/>
    <n v="7"/>
    <n v="4"/>
    <n v="5"/>
    <x v="0"/>
    <x v="0"/>
    <n v="4.13"/>
    <x v="0"/>
    <x v="0"/>
    <n v="88760"/>
    <n v="1"/>
    <x v="0"/>
    <x v="0"/>
  </r>
  <r>
    <s v="MH-0079"/>
    <d v="2024-09-04T00:00:00"/>
    <x v="1"/>
    <x v="11"/>
    <x v="4"/>
    <x v="16"/>
    <x v="3"/>
    <n v="5"/>
    <n v="5"/>
    <n v="5"/>
    <x v="0"/>
    <x v="0"/>
    <n v="2.37"/>
    <x v="2"/>
    <x v="0"/>
    <n v="110786"/>
    <n v="3"/>
    <x v="1"/>
    <x v="0"/>
  </r>
  <r>
    <s v="MH-0080"/>
    <d v="2024-10-24T00:00:00"/>
    <x v="1"/>
    <x v="15"/>
    <x v="1"/>
    <x v="2"/>
    <x v="1"/>
    <n v="2"/>
    <n v="0"/>
    <n v="1"/>
    <x v="0"/>
    <x v="0"/>
    <n v="3.84"/>
    <x v="0"/>
    <x v="0"/>
    <n v="62136"/>
    <n v="3"/>
    <x v="1"/>
    <x v="0"/>
  </r>
  <r>
    <s v="MH-0081"/>
    <d v="2025-03-13T00:00:00"/>
    <x v="2"/>
    <x v="15"/>
    <x v="0"/>
    <x v="12"/>
    <x v="3"/>
    <n v="1"/>
    <n v="0"/>
    <n v="3"/>
    <x v="1"/>
    <x v="0"/>
    <n v="3.1"/>
    <x v="2"/>
    <x v="0"/>
    <n v="146174"/>
    <n v="3"/>
    <x v="0"/>
    <x v="0"/>
  </r>
  <r>
    <s v="MH-0082"/>
    <d v="2024-11-12T00:00:00"/>
    <x v="1"/>
    <x v="14"/>
    <x v="3"/>
    <x v="7"/>
    <x v="0"/>
    <n v="6"/>
    <n v="1"/>
    <n v="2"/>
    <x v="1"/>
    <x v="0"/>
    <n v="3.02"/>
    <x v="0"/>
    <x v="0"/>
    <n v="148007"/>
    <n v="4"/>
    <x v="1"/>
    <x v="0"/>
  </r>
  <r>
    <s v="MH-0083"/>
    <d v="2025-07-08T00:00:00"/>
    <x v="1"/>
    <x v="19"/>
    <x v="2"/>
    <x v="7"/>
    <x v="0"/>
    <n v="4"/>
    <n v="0"/>
    <n v="2"/>
    <x v="0"/>
    <x v="0"/>
    <n v="2.2599999999999998"/>
    <x v="0"/>
    <x v="0"/>
    <n v="96941"/>
    <n v="2"/>
    <x v="0"/>
    <x v="0"/>
  </r>
  <r>
    <s v="MH-0084"/>
    <d v="2024-08-24T00:00:00"/>
    <x v="3"/>
    <x v="16"/>
    <x v="1"/>
    <x v="5"/>
    <x v="1"/>
    <n v="5"/>
    <n v="0"/>
    <n v="8"/>
    <x v="1"/>
    <x v="0"/>
    <n v="0.65"/>
    <x v="0"/>
    <x v="0"/>
    <n v="174482"/>
    <n v="4"/>
    <x v="1"/>
    <x v="0"/>
  </r>
  <r>
    <s v="MH-0085"/>
    <d v="2025-06-17T00:00:00"/>
    <x v="1"/>
    <x v="11"/>
    <x v="1"/>
    <x v="14"/>
    <x v="2"/>
    <n v="7"/>
    <n v="5"/>
    <n v="8"/>
    <x v="1"/>
    <x v="0"/>
    <n v="2.96"/>
    <x v="1"/>
    <x v="0"/>
    <n v="169289"/>
    <n v="4"/>
    <x v="1"/>
    <x v="0"/>
  </r>
  <r>
    <s v="MH-0086"/>
    <d v="2025-02-24T00:00:00"/>
    <x v="3"/>
    <x v="5"/>
    <x v="5"/>
    <x v="15"/>
    <x v="0"/>
    <n v="2"/>
    <n v="2"/>
    <n v="3"/>
    <x v="0"/>
    <x v="0"/>
    <n v="3.48"/>
    <x v="6"/>
    <x v="0"/>
    <n v="91460"/>
    <n v="1"/>
    <x v="0"/>
    <x v="0"/>
  </r>
  <r>
    <s v="MH-0087"/>
    <d v="2025-07-19T00:00:00"/>
    <x v="2"/>
    <x v="3"/>
    <x v="0"/>
    <x v="20"/>
    <x v="3"/>
    <n v="7"/>
    <n v="1"/>
    <m/>
    <x v="0"/>
    <x v="0"/>
    <n v="2.95"/>
    <x v="0"/>
    <x v="0"/>
    <n v="82938"/>
    <n v="4"/>
    <x v="0"/>
    <x v="1"/>
  </r>
  <r>
    <s v="MH-0088"/>
    <d v="2024-01-04T00:00:00"/>
    <x v="3"/>
    <x v="16"/>
    <x v="1"/>
    <x v="4"/>
    <x v="1"/>
    <n v="3"/>
    <n v="2"/>
    <n v="8"/>
    <x v="0"/>
    <x v="1"/>
    <n v="2.34"/>
    <x v="0"/>
    <x v="0"/>
    <n v="22415"/>
    <n v="1"/>
    <x v="0"/>
    <x v="0"/>
  </r>
  <r>
    <s v="MH-0089"/>
    <d v="2024-02-24T00:00:00"/>
    <x v="1"/>
    <x v="1"/>
    <x v="4"/>
    <x v="8"/>
    <x v="0"/>
    <n v="4"/>
    <n v="0"/>
    <n v="4"/>
    <x v="0"/>
    <x v="0"/>
    <n v="1.96"/>
    <x v="1"/>
    <x v="0"/>
    <n v="62771"/>
    <n v="1"/>
    <x v="0"/>
    <x v="0"/>
  </r>
  <r>
    <s v="MH-0090"/>
    <d v="2024-09-04T00:00:00"/>
    <x v="2"/>
    <x v="4"/>
    <x v="1"/>
    <x v="7"/>
    <x v="0"/>
    <n v="3"/>
    <n v="3"/>
    <n v="5"/>
    <x v="1"/>
    <x v="0"/>
    <n v="2.58"/>
    <x v="0"/>
    <x v="0"/>
    <n v="132153"/>
    <n v="2"/>
    <x v="0"/>
    <x v="0"/>
  </r>
  <r>
    <s v="MH-0091"/>
    <d v="2025-04-19T00:00:00"/>
    <x v="4"/>
    <x v="15"/>
    <x v="0"/>
    <x v="19"/>
    <x v="1"/>
    <n v="5"/>
    <n v="0"/>
    <m/>
    <x v="0"/>
    <x v="0"/>
    <n v="2.56"/>
    <x v="6"/>
    <x v="0"/>
    <n v="77601"/>
    <n v="1"/>
    <x v="0"/>
    <x v="0"/>
  </r>
  <r>
    <s v="MH-0092"/>
    <d v="2024-09-08T00:00:00"/>
    <x v="4"/>
    <x v="9"/>
    <x v="2"/>
    <x v="5"/>
    <x v="1"/>
    <n v="6"/>
    <n v="2"/>
    <n v="4"/>
    <x v="0"/>
    <x v="0"/>
    <n v="2.5299999999999998"/>
    <x v="5"/>
    <x v="0"/>
    <n v="51158"/>
    <n v="1"/>
    <x v="0"/>
    <x v="0"/>
  </r>
  <r>
    <s v="MH-0093"/>
    <d v="2024-10-11T00:00:00"/>
    <x v="1"/>
    <x v="14"/>
    <x v="2"/>
    <x v="21"/>
    <x v="2"/>
    <n v="4"/>
    <n v="1"/>
    <n v="5"/>
    <x v="1"/>
    <x v="0"/>
    <n v="2.72"/>
    <x v="5"/>
    <x v="0"/>
    <n v="150349"/>
    <n v="3"/>
    <x v="0"/>
    <x v="0"/>
  </r>
  <r>
    <s v="MH-0094"/>
    <d v="2025-05-18T00:00:00"/>
    <x v="2"/>
    <x v="2"/>
    <x v="4"/>
    <x v="1"/>
    <x v="1"/>
    <n v="7"/>
    <n v="0"/>
    <n v="6"/>
    <x v="0"/>
    <x v="0"/>
    <n v="3.52"/>
    <x v="0"/>
    <x v="0"/>
    <n v="51737"/>
    <n v="1"/>
    <x v="0"/>
    <x v="0"/>
  </r>
  <r>
    <s v="MH-0095"/>
    <d v="2024-07-14T00:00:00"/>
    <x v="3"/>
    <x v="8"/>
    <x v="1"/>
    <x v="1"/>
    <x v="1"/>
    <n v="3"/>
    <n v="2"/>
    <n v="0"/>
    <x v="0"/>
    <x v="0"/>
    <n v="2.27"/>
    <x v="0"/>
    <x v="0"/>
    <n v="99171"/>
    <n v="4"/>
    <x v="0"/>
    <x v="1"/>
  </r>
  <r>
    <s v="MH-0096"/>
    <d v="2025-11-12T00:00:00"/>
    <x v="4"/>
    <x v="9"/>
    <x v="1"/>
    <x v="1"/>
    <x v="1"/>
    <n v="2"/>
    <n v="1"/>
    <n v="6"/>
    <x v="0"/>
    <x v="0"/>
    <n v="3.27"/>
    <x v="2"/>
    <x v="0"/>
    <n v="141972"/>
    <n v="3"/>
    <x v="0"/>
    <x v="0"/>
  </r>
  <r>
    <s v="MH-0097"/>
    <d v="2025-03-28T00:00:00"/>
    <x v="4"/>
    <x v="9"/>
    <x v="0"/>
    <x v="19"/>
    <x v="1"/>
    <n v="1"/>
    <n v="0"/>
    <n v="3"/>
    <x v="0"/>
    <x v="0"/>
    <n v="2.2200000000000002"/>
    <x v="5"/>
    <x v="0"/>
    <n v="70086"/>
    <n v="1"/>
    <x v="0"/>
    <x v="0"/>
  </r>
  <r>
    <s v="MH-0098"/>
    <d v="2024-09-30T00:00:00"/>
    <x v="1"/>
    <x v="1"/>
    <x v="5"/>
    <x v="12"/>
    <x v="3"/>
    <n v="1"/>
    <n v="0"/>
    <n v="3"/>
    <x v="0"/>
    <x v="0"/>
    <n v="2.5099999999999998"/>
    <x v="0"/>
    <x v="0"/>
    <n v="107178"/>
    <n v="3"/>
    <x v="0"/>
    <x v="0"/>
  </r>
  <r>
    <s v="MH-0099"/>
    <d v="2024-11-22T00:00:00"/>
    <x v="1"/>
    <x v="1"/>
    <x v="1"/>
    <x v="19"/>
    <x v="1"/>
    <n v="6"/>
    <n v="0"/>
    <n v="7"/>
    <x v="1"/>
    <x v="0"/>
    <n v="3.14"/>
    <x v="5"/>
    <x v="0"/>
    <n v="123467"/>
    <n v="6"/>
    <x v="0"/>
    <x v="0"/>
  </r>
  <r>
    <s v="MH-0100"/>
    <d v="2024-04-04T00:00:00"/>
    <x v="3"/>
    <x v="16"/>
    <x v="2"/>
    <x v="0"/>
    <x v="0"/>
    <n v="5"/>
    <n v="0"/>
    <n v="2"/>
    <x v="0"/>
    <x v="0"/>
    <n v="3"/>
    <x v="0"/>
    <x v="0"/>
    <n v="43109"/>
    <n v="1"/>
    <x v="1"/>
    <x v="0"/>
  </r>
  <r>
    <s v="MH-0101"/>
    <d v="2024-10-29T00:00:00"/>
    <x v="0"/>
    <x v="0"/>
    <x v="5"/>
    <x v="11"/>
    <x v="0"/>
    <n v="4"/>
    <n v="1"/>
    <n v="8"/>
    <x v="1"/>
    <x v="0"/>
    <n v="2.33"/>
    <x v="0"/>
    <x v="0"/>
    <n v="159074"/>
    <n v="3"/>
    <x v="0"/>
    <x v="0"/>
  </r>
  <r>
    <s v="MH-0102"/>
    <d v="2025-01-28T00:00:00"/>
    <x v="2"/>
    <x v="18"/>
    <x v="3"/>
    <x v="2"/>
    <x v="1"/>
    <n v="2"/>
    <n v="0"/>
    <n v="3"/>
    <x v="0"/>
    <x v="0"/>
    <n v="2.62"/>
    <x v="4"/>
    <x v="0"/>
    <n v="66213"/>
    <n v="1"/>
    <x v="1"/>
    <x v="0"/>
  </r>
  <r>
    <s v="MH-0103"/>
    <d v="2025-04-23T00:00:00"/>
    <x v="4"/>
    <x v="9"/>
    <x v="5"/>
    <x v="8"/>
    <x v="0"/>
    <n v="5"/>
    <n v="1"/>
    <n v="4"/>
    <x v="0"/>
    <x v="0"/>
    <n v="2.97"/>
    <x v="0"/>
    <x v="0"/>
    <n v="42310"/>
    <n v="1"/>
    <x v="0"/>
    <x v="0"/>
  </r>
  <r>
    <s v="MH-0104"/>
    <d v="2025-12-09T00:00:00"/>
    <x v="1"/>
    <x v="14"/>
    <x v="5"/>
    <x v="7"/>
    <x v="0"/>
    <n v="1"/>
    <n v="1"/>
    <n v="6"/>
    <x v="1"/>
    <x v="2"/>
    <n v="2.56"/>
    <x v="0"/>
    <x v="0"/>
    <n v="147483"/>
    <n v="5"/>
    <x v="0"/>
    <x v="0"/>
  </r>
  <r>
    <s v="MH-0105"/>
    <d v="2024-10-31T00:00:00"/>
    <x v="3"/>
    <x v="5"/>
    <x v="1"/>
    <x v="22"/>
    <x v="3"/>
    <n v="2"/>
    <n v="1"/>
    <n v="6"/>
    <x v="1"/>
    <x v="0"/>
    <n v="2.74"/>
    <x v="0"/>
    <x v="0"/>
    <n v="159264"/>
    <n v="2"/>
    <x v="0"/>
    <x v="0"/>
  </r>
  <r>
    <s v="MH-0106"/>
    <d v="2024-02-22T00:00:00"/>
    <x v="2"/>
    <x v="3"/>
    <x v="3"/>
    <x v="13"/>
    <x v="3"/>
    <n v="7"/>
    <n v="5"/>
    <n v="1"/>
    <x v="0"/>
    <x v="0"/>
    <n v="3.13"/>
    <x v="5"/>
    <x v="0"/>
    <n v="71493"/>
    <n v="1"/>
    <x v="0"/>
    <x v="0"/>
  </r>
  <r>
    <s v="MH-0107"/>
    <d v="2025-11-08T00:00:00"/>
    <x v="3"/>
    <x v="5"/>
    <x v="1"/>
    <x v="7"/>
    <x v="0"/>
    <n v="7"/>
    <n v="1"/>
    <n v="1"/>
    <x v="0"/>
    <x v="0"/>
    <n v="3.06"/>
    <x v="2"/>
    <x v="0"/>
    <n v="34724"/>
    <n v="1"/>
    <x v="0"/>
    <x v="0"/>
  </r>
  <r>
    <s v="MH-0108"/>
    <d v="2024-05-16T00:00:00"/>
    <x v="4"/>
    <x v="10"/>
    <x v="0"/>
    <x v="4"/>
    <x v="1"/>
    <n v="6"/>
    <n v="5"/>
    <n v="3"/>
    <x v="0"/>
    <x v="0"/>
    <n v="2.89"/>
    <x v="0"/>
    <x v="0"/>
    <n v="90157"/>
    <n v="1"/>
    <x v="0"/>
    <x v="0"/>
  </r>
  <r>
    <s v="MH-0109"/>
    <d v="2025-06-29T00:00:00"/>
    <x v="2"/>
    <x v="2"/>
    <x v="3"/>
    <x v="11"/>
    <x v="0"/>
    <n v="6"/>
    <n v="3"/>
    <n v="2"/>
    <x v="0"/>
    <x v="0"/>
    <n v="3.39"/>
    <x v="0"/>
    <x v="0"/>
    <n v="101039"/>
    <n v="1"/>
    <x v="0"/>
    <x v="0"/>
  </r>
  <r>
    <s v="MH-0110"/>
    <d v="2025-04-26T00:00:00"/>
    <x v="2"/>
    <x v="4"/>
    <x v="0"/>
    <x v="5"/>
    <x v="1"/>
    <n v="3"/>
    <n v="3"/>
    <n v="6"/>
    <x v="1"/>
    <x v="0"/>
    <n v="2.99"/>
    <x v="5"/>
    <x v="0"/>
    <n v="154278"/>
    <n v="3"/>
    <x v="0"/>
    <x v="0"/>
  </r>
  <r>
    <s v="MH-0111"/>
    <d v="2025-01-11T00:00:00"/>
    <x v="4"/>
    <x v="6"/>
    <x v="0"/>
    <x v="4"/>
    <x v="1"/>
    <n v="7"/>
    <n v="5"/>
    <n v="4"/>
    <x v="1"/>
    <x v="1"/>
    <n v="3.74"/>
    <x v="6"/>
    <x v="0"/>
    <n v="151360"/>
    <n v="4"/>
    <x v="0"/>
    <x v="0"/>
  </r>
  <r>
    <s v="MH-0112"/>
    <d v="2025-01-17T00:00:00"/>
    <x v="3"/>
    <x v="16"/>
    <x v="0"/>
    <x v="2"/>
    <x v="1"/>
    <n v="3"/>
    <n v="0"/>
    <n v="4"/>
    <x v="0"/>
    <x v="0"/>
    <n v="2.86"/>
    <x v="2"/>
    <x v="0"/>
    <n v="74861"/>
    <n v="1"/>
    <x v="0"/>
    <x v="0"/>
  </r>
  <r>
    <s v="MH-0113"/>
    <d v="2025-12-20T00:00:00"/>
    <x v="4"/>
    <x v="9"/>
    <x v="5"/>
    <x v="8"/>
    <x v="0"/>
    <n v="1"/>
    <n v="1"/>
    <n v="9"/>
    <x v="1"/>
    <x v="0"/>
    <n v="3.58"/>
    <x v="0"/>
    <x v="0"/>
    <n v="136849"/>
    <n v="5"/>
    <x v="0"/>
    <x v="0"/>
  </r>
  <r>
    <s v="MH-0114"/>
    <d v="2025-07-06T00:00:00"/>
    <x v="3"/>
    <x v="16"/>
    <x v="4"/>
    <x v="2"/>
    <x v="1"/>
    <n v="2"/>
    <n v="0"/>
    <n v="0"/>
    <x v="1"/>
    <x v="0"/>
    <n v="2.5499999999999998"/>
    <x v="0"/>
    <x v="0"/>
    <n v="98230"/>
    <n v="3"/>
    <x v="1"/>
    <x v="1"/>
  </r>
  <r>
    <s v="MH-0115"/>
    <d v="2025-05-18T00:00:00"/>
    <x v="3"/>
    <x v="8"/>
    <x v="3"/>
    <x v="4"/>
    <x v="1"/>
    <n v="3"/>
    <n v="3"/>
    <n v="8"/>
    <x v="0"/>
    <x v="0"/>
    <n v="3.28"/>
    <x v="5"/>
    <x v="0"/>
    <n v="59522"/>
    <n v="3"/>
    <x v="0"/>
    <x v="0"/>
  </r>
  <r>
    <s v="MH-0116"/>
    <d v="2025-12-05T00:00:00"/>
    <x v="3"/>
    <x v="5"/>
    <x v="5"/>
    <x v="23"/>
    <x v="3"/>
    <n v="1"/>
    <n v="1"/>
    <n v="5"/>
    <x v="0"/>
    <x v="0"/>
    <n v="3.52"/>
    <x v="0"/>
    <x v="0"/>
    <n v="28035"/>
    <n v="3"/>
    <x v="0"/>
    <x v="0"/>
  </r>
  <r>
    <s v="MH-0117"/>
    <d v="2024-04-05T00:00:00"/>
    <x v="1"/>
    <x v="19"/>
    <x v="1"/>
    <x v="8"/>
    <x v="0"/>
    <n v="1"/>
    <n v="1"/>
    <n v="4"/>
    <x v="0"/>
    <x v="1"/>
    <n v="3.45"/>
    <x v="6"/>
    <x v="0"/>
    <n v="121767"/>
    <n v="2"/>
    <x v="0"/>
    <x v="0"/>
  </r>
  <r>
    <s v="MH-0118"/>
    <d v="2025-07-23T00:00:00"/>
    <x v="4"/>
    <x v="10"/>
    <x v="4"/>
    <x v="8"/>
    <x v="0"/>
    <n v="1"/>
    <n v="1"/>
    <n v="4"/>
    <x v="0"/>
    <x v="0"/>
    <n v="2.63"/>
    <x v="0"/>
    <x v="0"/>
    <n v="85758"/>
    <n v="1"/>
    <x v="1"/>
    <x v="0"/>
  </r>
  <r>
    <s v="MH-0119"/>
    <d v="2024-05-30T00:00:00"/>
    <x v="1"/>
    <x v="14"/>
    <x v="4"/>
    <x v="4"/>
    <x v="1"/>
    <n v="7"/>
    <n v="1"/>
    <n v="4"/>
    <x v="0"/>
    <x v="0"/>
    <n v="3.5"/>
    <x v="5"/>
    <x v="0"/>
    <n v="73341"/>
    <n v="3"/>
    <x v="1"/>
    <x v="0"/>
  </r>
  <r>
    <s v="MH-0120"/>
    <d v="2024-09-02T00:00:00"/>
    <x v="1"/>
    <x v="19"/>
    <x v="3"/>
    <x v="2"/>
    <x v="1"/>
    <n v="7"/>
    <n v="1"/>
    <n v="4"/>
    <x v="0"/>
    <x v="0"/>
    <n v="2.56"/>
    <x v="0"/>
    <x v="0"/>
    <n v="53892"/>
    <n v="2"/>
    <x v="0"/>
    <x v="0"/>
  </r>
  <r>
    <s v="MH-0121"/>
    <d v="2025-05-04T00:00:00"/>
    <x v="2"/>
    <x v="3"/>
    <x v="2"/>
    <x v="7"/>
    <x v="0"/>
    <n v="2"/>
    <n v="1"/>
    <n v="3"/>
    <x v="1"/>
    <x v="0"/>
    <n v="3.58"/>
    <x v="0"/>
    <x v="0"/>
    <n v="98890"/>
    <n v="2"/>
    <x v="0"/>
    <x v="0"/>
  </r>
  <r>
    <s v="MH-0122"/>
    <d v="2025-11-07T00:00:00"/>
    <x v="2"/>
    <x v="3"/>
    <x v="3"/>
    <x v="21"/>
    <x v="2"/>
    <n v="4"/>
    <n v="4"/>
    <n v="14"/>
    <x v="0"/>
    <x v="0"/>
    <n v="2.42"/>
    <x v="1"/>
    <x v="0"/>
    <n v="20531"/>
    <n v="4"/>
    <x v="0"/>
    <x v="0"/>
  </r>
  <r>
    <s v="MH-0123"/>
    <d v="2025-05-19T00:00:00"/>
    <x v="2"/>
    <x v="18"/>
    <x v="1"/>
    <x v="7"/>
    <x v="0"/>
    <n v="6"/>
    <n v="0"/>
    <n v="4"/>
    <x v="0"/>
    <x v="0"/>
    <n v="3.5"/>
    <x v="0"/>
    <x v="0"/>
    <n v="36862"/>
    <n v="5"/>
    <x v="0"/>
    <x v="0"/>
  </r>
  <r>
    <s v="MH-0124"/>
    <d v="2025-07-17T00:00:00"/>
    <x v="3"/>
    <x v="16"/>
    <x v="1"/>
    <x v="4"/>
    <x v="1"/>
    <n v="1"/>
    <n v="1"/>
    <n v="5"/>
    <x v="0"/>
    <x v="0"/>
    <n v="3.5"/>
    <x v="0"/>
    <x v="0"/>
    <n v="77025"/>
    <n v="2"/>
    <x v="0"/>
    <x v="0"/>
  </r>
  <r>
    <s v="MH-0125"/>
    <d v="2024-04-29T00:00:00"/>
    <x v="2"/>
    <x v="18"/>
    <x v="1"/>
    <x v="5"/>
    <x v="1"/>
    <n v="5"/>
    <n v="4"/>
    <n v="5"/>
    <x v="0"/>
    <x v="0"/>
    <n v="4.1399999999999997"/>
    <x v="0"/>
    <x v="0"/>
    <n v="98635"/>
    <n v="4"/>
    <x v="0"/>
    <x v="0"/>
  </r>
  <r>
    <s v="MH-0126"/>
    <d v="2024-11-18T00:00:00"/>
    <x v="1"/>
    <x v="14"/>
    <x v="2"/>
    <x v="2"/>
    <x v="1"/>
    <n v="4"/>
    <n v="3"/>
    <n v="3"/>
    <x v="1"/>
    <x v="0"/>
    <n v="3.03"/>
    <x v="4"/>
    <x v="0"/>
    <n v="146393"/>
    <n v="5"/>
    <x v="0"/>
    <x v="0"/>
  </r>
  <r>
    <s v="MH-0127"/>
    <d v="2025-03-20T00:00:00"/>
    <x v="2"/>
    <x v="2"/>
    <x v="0"/>
    <x v="22"/>
    <x v="3"/>
    <n v="3"/>
    <n v="1"/>
    <n v="8"/>
    <x v="1"/>
    <x v="0"/>
    <n v="3.01"/>
    <x v="0"/>
    <x v="0"/>
    <n v="134327"/>
    <n v="2"/>
    <x v="1"/>
    <x v="0"/>
  </r>
  <r>
    <s v="MH-0128"/>
    <d v="2024-12-30T00:00:00"/>
    <x v="2"/>
    <x v="4"/>
    <x v="1"/>
    <x v="22"/>
    <x v="3"/>
    <n v="5"/>
    <n v="0"/>
    <n v="6"/>
    <x v="0"/>
    <x v="0"/>
    <n v="3.14"/>
    <x v="2"/>
    <x v="0"/>
    <n v="32750"/>
    <n v="1"/>
    <x v="1"/>
    <x v="0"/>
  </r>
  <r>
    <s v="MH-0129"/>
    <d v="2024-08-19T00:00:00"/>
    <x v="3"/>
    <x v="16"/>
    <x v="0"/>
    <x v="1"/>
    <x v="1"/>
    <n v="3"/>
    <n v="2"/>
    <n v="8"/>
    <x v="0"/>
    <x v="0"/>
    <n v="2.96"/>
    <x v="0"/>
    <x v="0"/>
    <n v="27421"/>
    <n v="1"/>
    <x v="0"/>
    <x v="0"/>
  </r>
  <r>
    <s v="MH-0130"/>
    <d v="2025-09-30T00:00:00"/>
    <x v="2"/>
    <x v="2"/>
    <x v="3"/>
    <x v="1"/>
    <x v="1"/>
    <n v="1"/>
    <n v="1"/>
    <n v="0"/>
    <x v="0"/>
    <x v="0"/>
    <n v="3.07"/>
    <x v="5"/>
    <x v="0"/>
    <n v="59226"/>
    <n v="3"/>
    <x v="0"/>
    <x v="1"/>
  </r>
  <r>
    <s v="MH-0131"/>
    <d v="2024-11-14T00:00:00"/>
    <x v="1"/>
    <x v="11"/>
    <x v="5"/>
    <x v="21"/>
    <x v="2"/>
    <n v="5"/>
    <n v="5"/>
    <n v="7"/>
    <x v="1"/>
    <x v="0"/>
    <n v="2.95"/>
    <x v="0"/>
    <x v="0"/>
    <n v="117336"/>
    <n v="7"/>
    <x v="0"/>
    <x v="0"/>
  </r>
  <r>
    <s v="MH-0132"/>
    <d v="2024-02-03T00:00:00"/>
    <x v="2"/>
    <x v="3"/>
    <x v="0"/>
    <x v="4"/>
    <x v="1"/>
    <n v="2"/>
    <n v="0"/>
    <n v="5"/>
    <x v="0"/>
    <x v="0"/>
    <n v="3.09"/>
    <x v="0"/>
    <x v="0"/>
    <n v="69952"/>
    <n v="1"/>
    <x v="0"/>
    <x v="0"/>
  </r>
  <r>
    <s v="MH-0133"/>
    <d v="2025-08-06T00:00:00"/>
    <x v="1"/>
    <x v="14"/>
    <x v="3"/>
    <x v="2"/>
    <x v="1"/>
    <n v="4"/>
    <n v="3"/>
    <n v="3"/>
    <x v="0"/>
    <x v="0"/>
    <n v="3.08"/>
    <x v="0"/>
    <x v="0"/>
    <n v="51414"/>
    <n v="1"/>
    <x v="0"/>
    <x v="0"/>
  </r>
  <r>
    <s v="MH-0134"/>
    <d v="2025-03-12T00:00:00"/>
    <x v="0"/>
    <x v="0"/>
    <x v="2"/>
    <x v="4"/>
    <x v="1"/>
    <n v="2"/>
    <n v="0"/>
    <n v="4"/>
    <x v="1"/>
    <x v="0"/>
    <n v="3.93"/>
    <x v="0"/>
    <x v="0"/>
    <n v="78725"/>
    <n v="5"/>
    <x v="0"/>
    <x v="0"/>
  </r>
  <r>
    <s v="MH-0135"/>
    <d v="2025-11-27T00:00:00"/>
    <x v="1"/>
    <x v="1"/>
    <x v="1"/>
    <x v="10"/>
    <x v="2"/>
    <n v="4"/>
    <n v="2"/>
    <n v="0"/>
    <x v="0"/>
    <x v="0"/>
    <n v="2.91"/>
    <x v="0"/>
    <x v="0"/>
    <n v="55713"/>
    <n v="1"/>
    <x v="0"/>
    <x v="1"/>
  </r>
  <r>
    <s v="MH-0136"/>
    <d v="2024-07-30T00:00:00"/>
    <x v="1"/>
    <x v="1"/>
    <x v="5"/>
    <x v="5"/>
    <x v="1"/>
    <n v="5"/>
    <n v="5"/>
    <n v="2"/>
    <x v="0"/>
    <x v="0"/>
    <n v="4.0599999999999996"/>
    <x v="6"/>
    <x v="0"/>
    <n v="88391"/>
    <n v="3"/>
    <x v="1"/>
    <x v="0"/>
  </r>
  <r>
    <s v="MH-0137"/>
    <d v="2024-05-14T00:00:00"/>
    <x v="4"/>
    <x v="6"/>
    <x v="2"/>
    <x v="7"/>
    <x v="0"/>
    <n v="7"/>
    <n v="2"/>
    <n v="2"/>
    <x v="0"/>
    <x v="0"/>
    <n v="2.81"/>
    <x v="0"/>
    <x v="0"/>
    <n v="77234"/>
    <n v="1"/>
    <x v="0"/>
    <x v="0"/>
  </r>
  <r>
    <s v="MH-0138"/>
    <d v="2024-02-15T00:00:00"/>
    <x v="1"/>
    <x v="14"/>
    <x v="2"/>
    <x v="7"/>
    <x v="0"/>
    <n v="5"/>
    <n v="4"/>
    <n v="4"/>
    <x v="1"/>
    <x v="0"/>
    <n v="2.89"/>
    <x v="0"/>
    <x v="0"/>
    <n v="162773"/>
    <n v="4"/>
    <x v="0"/>
    <x v="0"/>
  </r>
  <r>
    <s v="MH-0139"/>
    <d v="2024-01-24T00:00:00"/>
    <x v="0"/>
    <x v="17"/>
    <x v="5"/>
    <x v="1"/>
    <x v="1"/>
    <n v="1"/>
    <n v="1"/>
    <n v="7"/>
    <x v="0"/>
    <x v="0"/>
    <n v="2.5099999999999998"/>
    <x v="2"/>
    <x v="0"/>
    <n v="80398"/>
    <n v="2"/>
    <x v="1"/>
    <x v="0"/>
  </r>
  <r>
    <s v="MH-0140"/>
    <d v="2025-08-28T00:00:00"/>
    <x v="4"/>
    <x v="9"/>
    <x v="2"/>
    <x v="1"/>
    <x v="1"/>
    <n v="7"/>
    <n v="6"/>
    <m/>
    <x v="1"/>
    <x v="0"/>
    <n v="2.41"/>
    <x v="5"/>
    <x v="0"/>
    <n v="168100"/>
    <n v="3"/>
    <x v="0"/>
    <x v="0"/>
  </r>
  <r>
    <s v="MH-0141"/>
    <d v="2025-10-12T00:00:00"/>
    <x v="1"/>
    <x v="11"/>
    <x v="0"/>
    <x v="2"/>
    <x v="1"/>
    <n v="4"/>
    <n v="2"/>
    <n v="7"/>
    <x v="1"/>
    <x v="0"/>
    <n v="2.71"/>
    <x v="1"/>
    <x v="0"/>
    <n v="109788"/>
    <n v="1"/>
    <x v="1"/>
    <x v="0"/>
  </r>
  <r>
    <s v="MH-0142"/>
    <d v="2024-09-21T00:00:00"/>
    <x v="1"/>
    <x v="14"/>
    <x v="4"/>
    <x v="7"/>
    <x v="0"/>
    <n v="7"/>
    <n v="2"/>
    <n v="2"/>
    <x v="0"/>
    <x v="1"/>
    <n v="4.07"/>
    <x v="2"/>
    <x v="0"/>
    <n v="15000"/>
    <n v="4"/>
    <x v="1"/>
    <x v="0"/>
  </r>
  <r>
    <s v="MH-0143"/>
    <d v="2025-08-18T00:00:00"/>
    <x v="4"/>
    <x v="6"/>
    <x v="2"/>
    <x v="8"/>
    <x v="0"/>
    <n v="7"/>
    <n v="5"/>
    <n v="4"/>
    <x v="0"/>
    <x v="1"/>
    <n v="2.8"/>
    <x v="2"/>
    <x v="0"/>
    <n v="74978"/>
    <n v="1"/>
    <x v="0"/>
    <x v="0"/>
  </r>
  <r>
    <s v="MH-0144"/>
    <d v="2024-10-10T00:00:00"/>
    <x v="1"/>
    <x v="19"/>
    <x v="3"/>
    <x v="15"/>
    <x v="0"/>
    <n v="7"/>
    <n v="5"/>
    <n v="5"/>
    <x v="0"/>
    <x v="0"/>
    <n v="3.18"/>
    <x v="0"/>
    <x v="0"/>
    <n v="55909"/>
    <n v="1"/>
    <x v="0"/>
    <x v="0"/>
  </r>
  <r>
    <s v="MH-0145"/>
    <d v="2024-03-21T00:00:00"/>
    <x v="0"/>
    <x v="7"/>
    <x v="1"/>
    <x v="8"/>
    <x v="0"/>
    <n v="5"/>
    <n v="0"/>
    <n v="1"/>
    <x v="0"/>
    <x v="0"/>
    <n v="2.36"/>
    <x v="0"/>
    <x v="0"/>
    <n v="83581"/>
    <n v="2"/>
    <x v="0"/>
    <x v="0"/>
  </r>
  <r>
    <s v="MH-0146"/>
    <d v="2025-08-10T00:00:00"/>
    <x v="0"/>
    <x v="17"/>
    <x v="1"/>
    <x v="19"/>
    <x v="1"/>
    <n v="4"/>
    <n v="4"/>
    <n v="5"/>
    <x v="0"/>
    <x v="0"/>
    <n v="3.29"/>
    <x v="5"/>
    <x v="0"/>
    <n v="51506"/>
    <n v="1"/>
    <x v="0"/>
    <x v="0"/>
  </r>
  <r>
    <s v="MH-0147"/>
    <d v="2024-12-19T00:00:00"/>
    <x v="4"/>
    <x v="15"/>
    <x v="1"/>
    <x v="4"/>
    <x v="1"/>
    <n v="5"/>
    <n v="3"/>
    <n v="3"/>
    <x v="0"/>
    <x v="1"/>
    <n v="3.32"/>
    <x v="0"/>
    <x v="0"/>
    <n v="22435"/>
    <n v="3"/>
    <x v="0"/>
    <x v="0"/>
  </r>
  <r>
    <s v="MH-0148"/>
    <d v="2025-01-09T00:00:00"/>
    <x v="0"/>
    <x v="12"/>
    <x v="5"/>
    <x v="0"/>
    <x v="0"/>
    <n v="1"/>
    <n v="0"/>
    <n v="5"/>
    <x v="1"/>
    <x v="2"/>
    <n v="3.64"/>
    <x v="0"/>
    <x v="0"/>
    <n v="186636"/>
    <n v="5"/>
    <x v="0"/>
    <x v="0"/>
  </r>
  <r>
    <s v="MH-0149"/>
    <d v="2025-07-27T00:00:00"/>
    <x v="2"/>
    <x v="18"/>
    <x v="1"/>
    <x v="15"/>
    <x v="0"/>
    <n v="4"/>
    <n v="2"/>
    <n v="2"/>
    <x v="0"/>
    <x v="0"/>
    <n v="2.76"/>
    <x v="2"/>
    <x v="0"/>
    <n v="65652"/>
    <n v="2"/>
    <x v="0"/>
    <x v="0"/>
  </r>
  <r>
    <s v="MH-0150"/>
    <d v="2025-11-04T00:00:00"/>
    <x v="3"/>
    <x v="5"/>
    <x v="1"/>
    <x v="5"/>
    <x v="1"/>
    <n v="3"/>
    <n v="1"/>
    <n v="5"/>
    <x v="0"/>
    <x v="0"/>
    <n v="2.68"/>
    <x v="0"/>
    <x v="0"/>
    <n v="49712"/>
    <n v="1"/>
    <x v="0"/>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F994CA6-0CE0-429B-AB77-7098B22F897A}" name="PivotTable2"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rowHeaderCaption="Birth_Outcome">
  <location ref="A65:G70" firstHeaderRow="1" firstDataRow="2" firstDataCol="1"/>
  <pivotFields count="19">
    <pivotField showAll="0"/>
    <pivotField numFmtId="14" showAll="0"/>
    <pivotField axis="axisCol" showAll="0">
      <items count="7">
        <item x="2"/>
        <item x="0"/>
        <item x="1"/>
        <item x="4"/>
        <item x="3"/>
        <item m="1" x="5"/>
        <item t="default"/>
      </items>
    </pivotField>
    <pivotField showAll="0"/>
    <pivotField showAll="0">
      <items count="8">
        <item x="4"/>
        <item x="5"/>
        <item x="3"/>
        <item x="2"/>
        <item x="1"/>
        <item x="0"/>
        <item m="1" x="6"/>
        <item t="default"/>
      </items>
    </pivotField>
    <pivotField showAll="0"/>
    <pivotField showAll="0">
      <items count="7">
        <item x="3"/>
        <item x="1"/>
        <item x="0"/>
        <item x="2"/>
        <item x="4"/>
        <item x="5"/>
        <item t="default"/>
      </items>
    </pivotField>
    <pivotField showAll="0"/>
    <pivotField showAll="0"/>
    <pivotField showAll="0"/>
    <pivotField dataField="1" showAll="0">
      <items count="4">
        <item x="1"/>
        <item x="0"/>
        <item m="1" x="2"/>
        <item t="default"/>
      </items>
    </pivotField>
    <pivotField axis="axisRow" showAll="0">
      <items count="5">
        <item x="0"/>
        <item x="2"/>
        <item x="1"/>
        <item m="1" x="3"/>
        <item t="default"/>
      </items>
    </pivotField>
    <pivotField showAll="0"/>
    <pivotField showAll="0">
      <items count="8">
        <item x="4"/>
        <item x="3"/>
        <item x="6"/>
        <item x="0"/>
        <item x="2"/>
        <item x="1"/>
        <item x="5"/>
        <item t="default"/>
      </items>
    </pivotField>
    <pivotField showAll="0"/>
    <pivotField showAll="0"/>
    <pivotField showAll="0"/>
    <pivotField showAll="0"/>
    <pivotField showAll="0"/>
  </pivotFields>
  <rowFields count="1">
    <field x="11"/>
  </rowFields>
  <rowItems count="4">
    <i>
      <x/>
    </i>
    <i>
      <x v="1"/>
    </i>
    <i>
      <x v="2"/>
    </i>
    <i t="grand">
      <x/>
    </i>
  </rowItems>
  <colFields count="1">
    <field x="2"/>
  </colFields>
  <colItems count="6">
    <i>
      <x/>
    </i>
    <i>
      <x v="1"/>
    </i>
    <i>
      <x v="2"/>
    </i>
    <i>
      <x v="3"/>
    </i>
    <i>
      <x v="4"/>
    </i>
    <i t="grand">
      <x/>
    </i>
  </colItems>
  <dataFields count="1">
    <dataField name="Delivery_Mode" fld="10" subtotal="count" baseField="0" baseItem="0"/>
  </dataFields>
  <chartFormats count="5">
    <chartFormat chart="3" format="10" series="1">
      <pivotArea type="data" outline="0" fieldPosition="0">
        <references count="2">
          <reference field="4294967294" count="1" selected="0">
            <x v="0"/>
          </reference>
          <reference field="2" count="1" selected="0">
            <x v="0"/>
          </reference>
        </references>
      </pivotArea>
    </chartFormat>
    <chartFormat chart="3" format="11" series="1">
      <pivotArea type="data" outline="0" fieldPosition="0">
        <references count="2">
          <reference field="4294967294" count="1" selected="0">
            <x v="0"/>
          </reference>
          <reference field="2" count="1" selected="0">
            <x v="1"/>
          </reference>
        </references>
      </pivotArea>
    </chartFormat>
    <chartFormat chart="3" format="12" series="1">
      <pivotArea type="data" outline="0" fieldPosition="0">
        <references count="2">
          <reference field="4294967294" count="1" selected="0">
            <x v="0"/>
          </reference>
          <reference field="2" count="1" selected="0">
            <x v="2"/>
          </reference>
        </references>
      </pivotArea>
    </chartFormat>
    <chartFormat chart="3" format="13" series="1">
      <pivotArea type="data" outline="0" fieldPosition="0">
        <references count="2">
          <reference field="4294967294" count="1" selected="0">
            <x v="0"/>
          </reference>
          <reference field="2" count="1" selected="0">
            <x v="3"/>
          </reference>
        </references>
      </pivotArea>
    </chartFormat>
    <chartFormat chart="3" format="14" series="1">
      <pivotArea type="data" outline="0" fieldPosition="0">
        <references count="2">
          <reference field="4294967294" count="1" selected="0">
            <x v="0"/>
          </reference>
          <reference field="2"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6E8480B-F1D6-45CA-929B-306E4591FC09}" name="PivotTable20"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rowHeaderCaption="State">
  <location ref="E55:F61" firstHeaderRow="1" firstDataRow="1" firstDataCol="1"/>
  <pivotFields count="19">
    <pivotField showAll="0"/>
    <pivotField numFmtId="14" showAll="0"/>
    <pivotField axis="axisRow" showAll="0">
      <items count="7">
        <item x="2"/>
        <item x="0"/>
        <item x="1"/>
        <item x="4"/>
        <item x="3"/>
        <item m="1" x="5"/>
        <item t="default"/>
      </items>
    </pivotField>
    <pivotField showAll="0"/>
    <pivotField showAll="0">
      <items count="8">
        <item x="4"/>
        <item x="5"/>
        <item x="3"/>
        <item x="2"/>
        <item x="1"/>
        <item x="0"/>
        <item m="1" x="6"/>
        <item t="default"/>
      </items>
    </pivotField>
    <pivotField showAll="0"/>
    <pivotField showAll="0">
      <items count="7">
        <item x="3"/>
        <item x="1"/>
        <item x="0"/>
        <item x="2"/>
        <item x="4"/>
        <item x="5"/>
        <item t="default"/>
      </items>
    </pivotField>
    <pivotField showAll="0"/>
    <pivotField showAll="0"/>
    <pivotField dataField="1" showAll="0"/>
    <pivotField showAll="0"/>
    <pivotField showAll="0">
      <items count="5">
        <item x="0"/>
        <item x="2"/>
        <item x="1"/>
        <item m="1" x="3"/>
        <item t="default"/>
      </items>
    </pivotField>
    <pivotField showAll="0"/>
    <pivotField showAll="0">
      <items count="8">
        <item x="4"/>
        <item x="3"/>
        <item x="6"/>
        <item x="0"/>
        <item x="2"/>
        <item x="1"/>
        <item x="5"/>
        <item t="default"/>
      </items>
    </pivotField>
    <pivotField showAll="0"/>
    <pivotField showAll="0"/>
    <pivotField showAll="0"/>
    <pivotField showAll="0"/>
    <pivotField showAll="0"/>
  </pivotFields>
  <rowFields count="1">
    <field x="2"/>
  </rowFields>
  <rowItems count="6">
    <i>
      <x/>
    </i>
    <i>
      <x v="1"/>
    </i>
    <i>
      <x v="2"/>
    </i>
    <i>
      <x v="3"/>
    </i>
    <i>
      <x v="4"/>
    </i>
    <i t="grand">
      <x/>
    </i>
  </rowItems>
  <colItems count="1">
    <i/>
  </colItems>
  <dataFields count="1">
    <dataField name="Sum of ANC_Visits" fld="9"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5388520-22EA-4DE1-915A-E31B0B587072}" name="PivotTable4"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rowHeaderCaption="Delivery_Mode">
  <location ref="A3:B6" firstHeaderRow="1" firstDataRow="1" firstDataCol="1"/>
  <pivotFields count="19">
    <pivotField dataField="1" showAll="0"/>
    <pivotField numFmtId="14" showAll="0"/>
    <pivotField showAll="0">
      <items count="7">
        <item x="2"/>
        <item x="0"/>
        <item x="1"/>
        <item x="4"/>
        <item x="3"/>
        <item m="1" x="5"/>
        <item t="default"/>
      </items>
    </pivotField>
    <pivotField showAll="0"/>
    <pivotField showAll="0">
      <items count="8">
        <item x="4"/>
        <item x="5"/>
        <item x="3"/>
        <item x="2"/>
        <item x="1"/>
        <item x="0"/>
        <item m="1" x="6"/>
        <item t="default"/>
      </items>
    </pivotField>
    <pivotField showAll="0">
      <items count="25">
        <item x="9"/>
        <item x="23"/>
        <item x="13"/>
        <item x="22"/>
        <item x="12"/>
        <item x="6"/>
        <item x="20"/>
        <item x="16"/>
        <item x="5"/>
        <item x="2"/>
        <item x="1"/>
        <item x="19"/>
        <item x="4"/>
        <item x="8"/>
        <item x="0"/>
        <item x="7"/>
        <item x="11"/>
        <item x="15"/>
        <item x="10"/>
        <item x="3"/>
        <item x="21"/>
        <item x="14"/>
        <item x="17"/>
        <item x="18"/>
        <item t="default"/>
      </items>
    </pivotField>
    <pivotField showAll="0">
      <items count="7">
        <item x="3"/>
        <item x="1"/>
        <item x="0"/>
        <item x="2"/>
        <item x="4"/>
        <item x="5"/>
        <item t="default"/>
      </items>
    </pivotField>
    <pivotField showAll="0"/>
    <pivotField showAll="0"/>
    <pivotField showAll="0"/>
    <pivotField axis="axisRow" showAll="0">
      <items count="4">
        <item x="1"/>
        <item x="0"/>
        <item m="1" x="2"/>
        <item t="default"/>
      </items>
    </pivotField>
    <pivotField showAll="0"/>
    <pivotField showAll="0"/>
    <pivotField showAll="0"/>
    <pivotField showAll="0"/>
    <pivotField showAll="0"/>
    <pivotField showAll="0"/>
    <pivotField showAll="0"/>
    <pivotField showAll="0"/>
  </pivotFields>
  <rowFields count="1">
    <field x="10"/>
  </rowFields>
  <rowItems count="3">
    <i>
      <x/>
    </i>
    <i>
      <x v="1"/>
    </i>
    <i t="grand">
      <x/>
    </i>
  </rowItems>
  <colItems count="1">
    <i/>
  </colItems>
  <dataFields count="1">
    <dataField name="Count of Record_ID" fld="0" subtotal="count" baseField="0" baseItem="0"/>
  </dataFields>
  <chartFormats count="3">
    <chartFormat chart="5" format="4" series="1">
      <pivotArea type="data" outline="0" fieldPosition="0">
        <references count="1">
          <reference field="4294967294" count="1" selected="0">
            <x v="0"/>
          </reference>
        </references>
      </pivotArea>
    </chartFormat>
    <chartFormat chart="5" format="5">
      <pivotArea type="data" outline="0" fieldPosition="0">
        <references count="2">
          <reference field="4294967294" count="1" selected="0">
            <x v="0"/>
          </reference>
          <reference field="10" count="1" selected="0">
            <x v="0"/>
          </reference>
        </references>
      </pivotArea>
    </chartFormat>
    <chartFormat chart="5" format="6">
      <pivotArea type="data" outline="0" fieldPosition="0">
        <references count="2">
          <reference field="4294967294" count="1" selected="0">
            <x v="0"/>
          </reference>
          <reference field="1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A765E83-6426-4666-9AA6-3EDB372BDE30}" name="PivotTable16"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Age_Group">
  <location ref="I36:M45" firstHeaderRow="1" firstDataRow="2" firstDataCol="1"/>
  <pivotFields count="19">
    <pivotField showAll="0"/>
    <pivotField numFmtId="14" showAll="0"/>
    <pivotField showAll="0">
      <items count="7">
        <item x="2"/>
        <item x="0"/>
        <item x="1"/>
        <item x="4"/>
        <item x="3"/>
        <item m="1" x="5"/>
        <item t="default"/>
      </items>
    </pivotField>
    <pivotField showAll="0"/>
    <pivotField showAll="0">
      <items count="8">
        <item x="4"/>
        <item x="5"/>
        <item x="3"/>
        <item x="2"/>
        <item x="1"/>
        <item x="0"/>
        <item m="1" x="6"/>
        <item t="default"/>
      </items>
    </pivotField>
    <pivotField showAll="0"/>
    <pivotField showAll="0">
      <items count="7">
        <item x="3"/>
        <item x="1"/>
        <item x="0"/>
        <item x="2"/>
        <item x="4"/>
        <item x="5"/>
        <item t="default"/>
      </items>
    </pivotField>
    <pivotField showAll="0"/>
    <pivotField showAll="0"/>
    <pivotField showAll="0"/>
    <pivotField showAll="0">
      <items count="4">
        <item x="1"/>
        <item x="0"/>
        <item m="1" x="2"/>
        <item t="default"/>
      </items>
    </pivotField>
    <pivotField axis="axisCol" showAll="0">
      <items count="5">
        <item x="0"/>
        <item x="2"/>
        <item x="1"/>
        <item m="1" x="3"/>
        <item t="default"/>
      </items>
    </pivotField>
    <pivotField showAll="0"/>
    <pivotField axis="axisRow" showAll="0">
      <items count="8">
        <item x="4"/>
        <item x="3"/>
        <item x="6"/>
        <item x="0"/>
        <item x="2"/>
        <item x="1"/>
        <item x="5"/>
        <item t="default"/>
      </items>
    </pivotField>
    <pivotField showAll="0"/>
    <pivotField dataField="1" showAll="0"/>
    <pivotField showAll="0"/>
    <pivotField showAll="0"/>
    <pivotField showAll="0"/>
  </pivotFields>
  <rowFields count="1">
    <field x="13"/>
  </rowFields>
  <rowItems count="8">
    <i>
      <x/>
    </i>
    <i>
      <x v="1"/>
    </i>
    <i>
      <x v="2"/>
    </i>
    <i>
      <x v="3"/>
    </i>
    <i>
      <x v="4"/>
    </i>
    <i>
      <x v="5"/>
    </i>
    <i>
      <x v="6"/>
    </i>
    <i t="grand">
      <x/>
    </i>
  </rowItems>
  <colFields count="1">
    <field x="11"/>
  </colFields>
  <colItems count="4">
    <i>
      <x/>
    </i>
    <i>
      <x v="1"/>
    </i>
    <i>
      <x v="2"/>
    </i>
    <i t="grand">
      <x/>
    </i>
  </colItems>
  <dataFields count="1">
    <dataField name="Sum of Delivery_Cost_NGN" fld="15"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97CE236D-5DBB-4E58-90EE-548139FD1BF4}" name="PivotTable15"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Maternal_Death">
  <location ref="A47:B49" firstHeaderRow="1" firstDataRow="1" firstDataCol="1"/>
  <pivotFields count="19">
    <pivotField dataField="1" showAll="0"/>
    <pivotField numFmtId="14" showAll="0"/>
    <pivotField showAll="0">
      <items count="7">
        <item x="2"/>
        <item x="0"/>
        <item x="1"/>
        <item x="4"/>
        <item x="3"/>
        <item m="1" x="5"/>
        <item t="default"/>
      </items>
    </pivotField>
    <pivotField showAll="0"/>
    <pivotField showAll="0">
      <items count="8">
        <item x="4"/>
        <item x="5"/>
        <item x="3"/>
        <item x="2"/>
        <item x="1"/>
        <item x="0"/>
        <item m="1" x="6"/>
        <item t="default"/>
      </items>
    </pivotField>
    <pivotField showAll="0"/>
    <pivotField showAll="0">
      <items count="7">
        <item x="3"/>
        <item x="1"/>
        <item x="0"/>
        <item x="2"/>
        <item x="4"/>
        <item x="5"/>
        <item t="default"/>
      </items>
    </pivotField>
    <pivotField showAll="0"/>
    <pivotField showAll="0"/>
    <pivotField showAll="0"/>
    <pivotField showAll="0"/>
    <pivotField showAll="0">
      <items count="5">
        <item x="0"/>
        <item x="2"/>
        <item x="1"/>
        <item m="1" x="3"/>
        <item t="default"/>
      </items>
    </pivotField>
    <pivotField showAll="0"/>
    <pivotField showAll="0">
      <items count="8">
        <item x="4"/>
        <item x="3"/>
        <item x="6"/>
        <item x="0"/>
        <item x="2"/>
        <item x="1"/>
        <item x="5"/>
        <item t="default"/>
      </items>
    </pivotField>
    <pivotField axis="axisRow" showAll="0">
      <items count="2">
        <item x="0"/>
        <item t="default"/>
      </items>
    </pivotField>
    <pivotField showAll="0"/>
    <pivotField showAll="0"/>
    <pivotField showAll="0"/>
    <pivotField showAll="0"/>
  </pivotFields>
  <rowFields count="1">
    <field x="14"/>
  </rowFields>
  <rowItems count="2">
    <i>
      <x/>
    </i>
    <i t="grand">
      <x/>
    </i>
  </rowItems>
  <colItems count="1">
    <i/>
  </colItems>
  <dataFields count="1">
    <dataField name="Count of Record_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2C174E5-CE28-4855-BC11-F38E9D518AD2}" name="PivotTable11"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rowHeaderCaption="Referral">
  <location ref="E12:F15" firstHeaderRow="1" firstDataRow="1" firstDataCol="1"/>
  <pivotFields count="19">
    <pivotField dataField="1" showAll="0"/>
    <pivotField numFmtId="14" showAll="0"/>
    <pivotField showAll="0">
      <items count="7">
        <item x="2"/>
        <item x="0"/>
        <item x="1"/>
        <item x="4"/>
        <item x="3"/>
        <item m="1" x="5"/>
        <item t="default"/>
      </items>
    </pivotField>
    <pivotField showAll="0"/>
    <pivotField showAll="0">
      <items count="8">
        <item x="4"/>
        <item x="5"/>
        <item x="3"/>
        <item x="2"/>
        <item x="1"/>
        <item x="0"/>
        <item m="1" x="6"/>
        <item t="default"/>
      </items>
    </pivotField>
    <pivotField showAll="0"/>
    <pivotField showAll="0">
      <items count="7">
        <item x="3"/>
        <item x="1"/>
        <item x="0"/>
        <item x="2"/>
        <item x="4"/>
        <item x="5"/>
        <item t="default"/>
      </items>
    </pivotField>
    <pivotField showAll="0"/>
    <pivotField showAll="0"/>
    <pivotField showAll="0"/>
    <pivotField showAll="0"/>
    <pivotField showAll="0"/>
    <pivotField showAll="0"/>
    <pivotField showAll="0"/>
    <pivotField showAll="0"/>
    <pivotField showAll="0"/>
    <pivotField showAll="0"/>
    <pivotField axis="axisRow" showAll="0">
      <items count="5">
        <item x="0"/>
        <item m="1" x="3"/>
        <item x="1"/>
        <item m="1" x="2"/>
        <item t="default"/>
      </items>
    </pivotField>
    <pivotField showAll="0"/>
  </pivotFields>
  <rowFields count="1">
    <field x="17"/>
  </rowFields>
  <rowItems count="3">
    <i>
      <x/>
    </i>
    <i>
      <x v="2"/>
    </i>
    <i t="grand">
      <x/>
    </i>
  </rowItems>
  <colItems count="1">
    <i/>
  </colItems>
  <dataFields count="1">
    <dataField name="Count of Record_ID" fld="0" subtotal="count" baseField="0" baseItem="0"/>
  </dataFields>
  <chartFormats count="3">
    <chartFormat chart="4" format="4" series="1">
      <pivotArea type="data" outline="0" fieldPosition="0">
        <references count="1">
          <reference field="4294967294" count="1" selected="0">
            <x v="0"/>
          </reference>
        </references>
      </pivotArea>
    </chartFormat>
    <chartFormat chart="4" format="5">
      <pivotArea type="data" outline="0" fieldPosition="0">
        <references count="2">
          <reference field="4294967294" count="1" selected="0">
            <x v="0"/>
          </reference>
          <reference field="17" count="1" selected="0">
            <x v="0"/>
          </reference>
        </references>
      </pivotArea>
    </chartFormat>
    <chartFormat chart="4" format="6">
      <pivotArea type="data" outline="0" fieldPosition="0">
        <references count="2">
          <reference field="4294967294" count="1" selected="0">
            <x v="0"/>
          </reference>
          <reference field="17"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CA9C31EC-9E1C-4196-84AD-BFD5436A1C47}" name="PivotTable12"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Age_Group">
  <location ref="I25:J32" firstHeaderRow="1" firstDataRow="1" firstDataCol="1"/>
  <pivotFields count="19">
    <pivotField showAll="0"/>
    <pivotField numFmtId="14" showAll="0"/>
    <pivotField showAll="0">
      <items count="7">
        <item x="2"/>
        <item x="0"/>
        <item x="1"/>
        <item x="4"/>
        <item x="3"/>
        <item m="1" x="5"/>
        <item t="default"/>
      </items>
    </pivotField>
    <pivotField showAll="0"/>
    <pivotField showAll="0">
      <items count="8">
        <item x="4"/>
        <item x="5"/>
        <item x="3"/>
        <item x="2"/>
        <item x="1"/>
        <item x="0"/>
        <item m="1" x="6"/>
        <item t="default"/>
      </items>
    </pivotField>
    <pivotField showAll="0"/>
    <pivotField axis="axisRow" showAll="0">
      <items count="7">
        <item x="3"/>
        <item x="1"/>
        <item x="0"/>
        <item x="2"/>
        <item x="4"/>
        <item x="5"/>
        <item t="default"/>
      </items>
    </pivotField>
    <pivotField showAll="0"/>
    <pivotField showAll="0"/>
    <pivotField showAll="0"/>
    <pivotField showAll="0">
      <items count="4">
        <item x="1"/>
        <item x="0"/>
        <item m="1" x="2"/>
        <item t="default"/>
      </items>
    </pivotField>
    <pivotField showAll="0">
      <items count="5">
        <item x="0"/>
        <item x="2"/>
        <item x="1"/>
        <item m="1" x="3"/>
        <item t="default"/>
      </items>
    </pivotField>
    <pivotField showAll="0"/>
    <pivotField showAll="0"/>
    <pivotField showAll="0"/>
    <pivotField showAll="0"/>
    <pivotField showAll="0"/>
    <pivotField dataField="1" showAll="0"/>
    <pivotField showAll="0"/>
  </pivotFields>
  <rowFields count="1">
    <field x="6"/>
  </rowFields>
  <rowItems count="7">
    <i>
      <x/>
    </i>
    <i>
      <x v="1"/>
    </i>
    <i>
      <x v="2"/>
    </i>
    <i>
      <x v="3"/>
    </i>
    <i>
      <x v="4"/>
    </i>
    <i>
      <x v="5"/>
    </i>
    <i t="grand">
      <x/>
    </i>
  </rowItems>
  <colItems count="1">
    <i/>
  </colItems>
  <dataFields count="1">
    <dataField name="Count of Referral" fld="17"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97A92F91-17C8-4AE5-B5C2-9608D49D9CE9}" name="PivotTable8"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rowHeaderCaption="LGA">
  <location ref="A21:B42" firstHeaderRow="1" firstDataRow="1" firstDataCol="1"/>
  <pivotFields count="19">
    <pivotField dataField="1" showAll="0"/>
    <pivotField numFmtId="14" showAll="0"/>
    <pivotField showAll="0">
      <items count="7">
        <item x="2"/>
        <item x="0"/>
        <item x="1"/>
        <item x="4"/>
        <item x="3"/>
        <item m="1" x="5"/>
        <item t="default"/>
      </items>
    </pivotField>
    <pivotField axis="axisRow" showAll="0">
      <items count="22">
        <item x="4"/>
        <item x="11"/>
        <item x="14"/>
        <item x="0"/>
        <item x="10"/>
        <item x="6"/>
        <item x="1"/>
        <item x="17"/>
        <item x="18"/>
        <item x="12"/>
        <item x="15"/>
        <item x="2"/>
        <item x="19"/>
        <item x="8"/>
        <item x="7"/>
        <item x="5"/>
        <item x="16"/>
        <item x="13"/>
        <item x="9"/>
        <item x="3"/>
        <item m="1" x="20"/>
        <item t="default"/>
      </items>
    </pivotField>
    <pivotField showAll="0">
      <items count="8">
        <item x="4"/>
        <item x="5"/>
        <item x="3"/>
        <item x="2"/>
        <item x="1"/>
        <item x="0"/>
        <item m="1" x="6"/>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3"/>
  </rowFields>
  <rowItems count="21">
    <i>
      <x/>
    </i>
    <i>
      <x v="1"/>
    </i>
    <i>
      <x v="2"/>
    </i>
    <i>
      <x v="3"/>
    </i>
    <i>
      <x v="4"/>
    </i>
    <i>
      <x v="5"/>
    </i>
    <i>
      <x v="6"/>
    </i>
    <i>
      <x v="7"/>
    </i>
    <i>
      <x v="8"/>
    </i>
    <i>
      <x v="9"/>
    </i>
    <i>
      <x v="10"/>
    </i>
    <i>
      <x v="11"/>
    </i>
    <i>
      <x v="12"/>
    </i>
    <i>
      <x v="13"/>
    </i>
    <i>
      <x v="14"/>
    </i>
    <i>
      <x v="15"/>
    </i>
    <i>
      <x v="16"/>
    </i>
    <i>
      <x v="17"/>
    </i>
    <i>
      <x v="18"/>
    </i>
    <i>
      <x v="19"/>
    </i>
    <i t="grand">
      <x/>
    </i>
  </rowItems>
  <colItems count="1">
    <i/>
  </colItems>
  <dataFields count="1">
    <dataField name="Count of Record_ID" fld="0" subtotal="count" baseField="0" baseItem="0"/>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EC1B9473-ED52-4270-9A26-69305F841A15}" name="PivotTable10"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Birth_Outcome">
  <location ref="E21:F25" firstHeaderRow="1" firstDataRow="1" firstDataCol="1"/>
  <pivotFields count="19">
    <pivotField dataField="1" showAll="0"/>
    <pivotField numFmtId="14" showAll="0"/>
    <pivotField showAll="0">
      <items count="7">
        <item x="2"/>
        <item x="0"/>
        <item x="1"/>
        <item x="4"/>
        <item x="3"/>
        <item m="1" x="5"/>
        <item t="default"/>
      </items>
    </pivotField>
    <pivotField showAll="0"/>
    <pivotField showAll="0">
      <items count="8">
        <item x="4"/>
        <item x="5"/>
        <item x="3"/>
        <item x="2"/>
        <item x="1"/>
        <item x="0"/>
        <item m="1" x="6"/>
        <item t="default"/>
      </items>
    </pivotField>
    <pivotField showAll="0"/>
    <pivotField showAll="0">
      <items count="7">
        <item x="3"/>
        <item x="1"/>
        <item x="0"/>
        <item x="2"/>
        <item x="4"/>
        <item x="5"/>
        <item t="default"/>
      </items>
    </pivotField>
    <pivotField showAll="0"/>
    <pivotField showAll="0"/>
    <pivotField showAll="0"/>
    <pivotField showAll="0"/>
    <pivotField axis="axisRow" showAll="0">
      <items count="5">
        <item x="0"/>
        <item x="2"/>
        <item x="1"/>
        <item m="1" x="3"/>
        <item t="default"/>
      </items>
    </pivotField>
    <pivotField showAll="0"/>
    <pivotField showAll="0"/>
    <pivotField showAll="0"/>
    <pivotField showAll="0"/>
    <pivotField showAll="0"/>
    <pivotField showAll="0"/>
    <pivotField showAll="0"/>
  </pivotFields>
  <rowFields count="1">
    <field x="11"/>
  </rowFields>
  <rowItems count="4">
    <i>
      <x/>
    </i>
    <i>
      <x v="1"/>
    </i>
    <i>
      <x v="2"/>
    </i>
    <i t="grand">
      <x/>
    </i>
  </rowItems>
  <colItems count="1">
    <i/>
  </colItems>
  <dataFields count="1">
    <dataField name="Count of Record_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D4A593F1-6396-4527-91F2-18D6A5FB8C13}" name="PivotTable6"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rowHeaderCaption="State">
  <location ref="A11:B17" firstHeaderRow="1" firstDataRow="1" firstDataCol="1"/>
  <pivotFields count="19">
    <pivotField dataField="1" showAll="0"/>
    <pivotField numFmtId="14" showAll="0"/>
    <pivotField axis="axisRow" showAll="0">
      <items count="7">
        <item x="2"/>
        <item x="0"/>
        <item x="1"/>
        <item x="4"/>
        <item x="3"/>
        <item m="1" x="5"/>
        <item t="default"/>
      </items>
    </pivotField>
    <pivotField showAll="0"/>
    <pivotField showAll="0">
      <items count="8">
        <item x="4"/>
        <item x="5"/>
        <item x="3"/>
        <item x="2"/>
        <item x="1"/>
        <item x="0"/>
        <item m="1" x="6"/>
        <item t="default"/>
      </items>
    </pivotField>
    <pivotField showAll="0"/>
    <pivotField showAll="0">
      <items count="7">
        <item x="3"/>
        <item x="1"/>
        <item x="0"/>
        <item x="2"/>
        <item x="4"/>
        <item x="5"/>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s>
  <rowFields count="1">
    <field x="2"/>
  </rowFields>
  <rowItems count="6">
    <i>
      <x/>
    </i>
    <i>
      <x v="1"/>
    </i>
    <i>
      <x v="2"/>
    </i>
    <i>
      <x v="3"/>
    </i>
    <i>
      <x v="4"/>
    </i>
    <i t="grand">
      <x/>
    </i>
  </rowItems>
  <colItems count="1">
    <i/>
  </colItems>
  <dataFields count="1">
    <dataField name="Count of Record_ID" fld="0" subtotal="count" baseField="0" baseItem="0"/>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F3990059-E834-4507-B498-5011D59B6AC0}" name="PivotTable19"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rowHeaderCaption="Age_Group">
  <location ref="A53:B60" firstHeaderRow="1" firstDataRow="1" firstDataCol="1"/>
  <pivotFields count="19">
    <pivotField showAll="0"/>
    <pivotField numFmtId="14" showAll="0"/>
    <pivotField showAll="0">
      <items count="7">
        <item x="2"/>
        <item x="0"/>
        <item x="1"/>
        <item x="4"/>
        <item x="3"/>
        <item m="1" x="5"/>
        <item t="default"/>
      </items>
    </pivotField>
    <pivotField showAll="0"/>
    <pivotField showAll="0">
      <items count="8">
        <item x="4"/>
        <item x="5"/>
        <item x="3"/>
        <item x="2"/>
        <item x="1"/>
        <item x="0"/>
        <item m="1" x="6"/>
        <item t="default"/>
      </items>
    </pivotField>
    <pivotField showAll="0"/>
    <pivotField axis="axisRow" showAll="0">
      <items count="7">
        <item x="3"/>
        <item x="1"/>
        <item x="0"/>
        <item x="2"/>
        <item x="4"/>
        <item x="5"/>
        <item t="default"/>
      </items>
    </pivotField>
    <pivotField showAll="0"/>
    <pivotField showAll="0"/>
    <pivotField showAll="0"/>
    <pivotField dataField="1" showAll="0"/>
    <pivotField showAll="0">
      <items count="5">
        <item x="0"/>
        <item x="2"/>
        <item x="1"/>
        <item m="1" x="3"/>
        <item t="default"/>
      </items>
    </pivotField>
    <pivotField showAll="0"/>
    <pivotField showAll="0">
      <items count="8">
        <item x="4"/>
        <item x="3"/>
        <item x="6"/>
        <item x="0"/>
        <item x="2"/>
        <item x="1"/>
        <item x="5"/>
        <item t="default"/>
      </items>
    </pivotField>
    <pivotField showAll="0"/>
    <pivotField showAll="0"/>
    <pivotField showAll="0"/>
    <pivotField showAll="0"/>
    <pivotField showAll="0"/>
  </pivotFields>
  <rowFields count="1">
    <field x="6"/>
  </rowFields>
  <rowItems count="7">
    <i>
      <x/>
    </i>
    <i>
      <x v="1"/>
    </i>
    <i>
      <x v="2"/>
    </i>
    <i>
      <x v="3"/>
    </i>
    <i>
      <x v="4"/>
    </i>
    <i>
      <x v="5"/>
    </i>
    <i t="grand">
      <x/>
    </i>
  </rowItems>
  <colItems count="1">
    <i/>
  </colItems>
  <dataFields count="1">
    <dataField name="Delivery_Mode" fld="10" subtotal="count" baseField="0" baseItem="0"/>
  </dataFields>
  <chartFormats count="1">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0C25FB6F-6111-4109-A143-AB9828079917}" name="PivotTable7"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Delivery_Mode">
  <location ref="I16:J19" firstHeaderRow="1" firstDataRow="1" firstDataCol="1"/>
  <pivotFields count="19">
    <pivotField showAll="0"/>
    <pivotField numFmtId="14" showAll="0"/>
    <pivotField showAll="0">
      <items count="7">
        <item x="2"/>
        <item x="0"/>
        <item x="1"/>
        <item x="4"/>
        <item x="3"/>
        <item m="1" x="5"/>
        <item t="default"/>
      </items>
    </pivotField>
    <pivotField showAll="0"/>
    <pivotField showAll="0">
      <items count="8">
        <item x="4"/>
        <item x="5"/>
        <item x="3"/>
        <item x="2"/>
        <item x="1"/>
        <item x="0"/>
        <item m="1" x="6"/>
        <item t="default"/>
      </items>
    </pivotField>
    <pivotField showAll="0"/>
    <pivotField showAll="0">
      <items count="7">
        <item x="3"/>
        <item x="1"/>
        <item x="0"/>
        <item x="2"/>
        <item x="4"/>
        <item x="5"/>
        <item t="default"/>
      </items>
    </pivotField>
    <pivotField showAll="0"/>
    <pivotField showAll="0"/>
    <pivotField showAll="0"/>
    <pivotField axis="axisRow" showAll="0">
      <items count="4">
        <item x="1"/>
        <item x="0"/>
        <item m="1" x="2"/>
        <item t="default"/>
      </items>
    </pivotField>
    <pivotField showAll="0">
      <items count="5">
        <item x="0"/>
        <item x="2"/>
        <item x="1"/>
        <item m="1" x="3"/>
        <item t="default"/>
      </items>
    </pivotField>
    <pivotField showAll="0"/>
    <pivotField showAll="0"/>
    <pivotField showAll="0"/>
    <pivotField dataField="1" showAll="0"/>
    <pivotField showAll="0"/>
    <pivotField showAll="0"/>
    <pivotField showAll="0"/>
  </pivotFields>
  <rowFields count="1">
    <field x="10"/>
  </rowFields>
  <rowItems count="3">
    <i>
      <x/>
    </i>
    <i>
      <x v="1"/>
    </i>
    <i t="grand">
      <x/>
    </i>
  </rowItems>
  <colItems count="1">
    <i/>
  </colItems>
  <dataFields count="1">
    <dataField name="Sum of Delivery_Cost_NGN" fld="15"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18DC92F6-A3F9-42E0-B674-6F60B80F896D}" name="PivotTable17"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Age_Group">
  <location ref="E43:F50" firstHeaderRow="1" firstDataRow="1" firstDataCol="1"/>
  <pivotFields count="19">
    <pivotField showAll="0"/>
    <pivotField numFmtId="14" showAll="0"/>
    <pivotField showAll="0">
      <items count="7">
        <item x="2"/>
        <item x="0"/>
        <item x="1"/>
        <item x="4"/>
        <item x="3"/>
        <item m="1" x="5"/>
        <item t="default"/>
      </items>
    </pivotField>
    <pivotField showAll="0"/>
    <pivotField showAll="0">
      <items count="8">
        <item x="4"/>
        <item x="5"/>
        <item x="3"/>
        <item x="2"/>
        <item x="1"/>
        <item x="0"/>
        <item m="1" x="6"/>
        <item t="default"/>
      </items>
    </pivotField>
    <pivotField showAll="0"/>
    <pivotField axis="axisRow" showAll="0">
      <items count="7">
        <item x="3"/>
        <item x="1"/>
        <item x="0"/>
        <item x="2"/>
        <item x="4"/>
        <item x="5"/>
        <item t="default"/>
      </items>
    </pivotField>
    <pivotField showAll="0"/>
    <pivotField showAll="0"/>
    <pivotField showAll="0"/>
    <pivotField dataField="1" showAll="0"/>
    <pivotField showAll="0">
      <items count="5">
        <item x="0"/>
        <item x="2"/>
        <item x="1"/>
        <item m="1" x="3"/>
        <item t="default"/>
      </items>
    </pivotField>
    <pivotField showAll="0"/>
    <pivotField showAll="0">
      <items count="8">
        <item x="4"/>
        <item x="3"/>
        <item x="6"/>
        <item x="0"/>
        <item x="2"/>
        <item x="1"/>
        <item x="5"/>
        <item t="default"/>
      </items>
    </pivotField>
    <pivotField showAll="0"/>
    <pivotField showAll="0"/>
    <pivotField showAll="0"/>
    <pivotField showAll="0"/>
    <pivotField showAll="0"/>
  </pivotFields>
  <rowFields count="1">
    <field x="6"/>
  </rowFields>
  <rowItems count="7">
    <i>
      <x/>
    </i>
    <i>
      <x v="1"/>
    </i>
    <i>
      <x v="2"/>
    </i>
    <i>
      <x v="3"/>
    </i>
    <i>
      <x v="4"/>
    </i>
    <i>
      <x v="5"/>
    </i>
    <i t="grand">
      <x/>
    </i>
  </rowItems>
  <colItems count="1">
    <i/>
  </colItems>
  <dataFields count="1">
    <dataField name="Delivery_Mode" fld="1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70B6B535-E6BA-448C-815B-DDC4F3A618A8}" name="PivotTable13"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rowHeaderCaption="Maternal_Complication">
  <location ref="E30:F38" firstHeaderRow="1" firstDataRow="1" firstDataCol="1"/>
  <pivotFields count="19">
    <pivotField dataField="1" showAll="0"/>
    <pivotField numFmtId="14" showAll="0"/>
    <pivotField showAll="0">
      <items count="7">
        <item x="2"/>
        <item x="0"/>
        <item x="1"/>
        <item x="4"/>
        <item x="3"/>
        <item m="1" x="5"/>
        <item t="default"/>
      </items>
    </pivotField>
    <pivotField showAll="0"/>
    <pivotField showAll="0">
      <items count="8">
        <item x="4"/>
        <item x="5"/>
        <item x="3"/>
        <item x="2"/>
        <item x="1"/>
        <item x="0"/>
        <item m="1" x="6"/>
        <item t="default"/>
      </items>
    </pivotField>
    <pivotField showAll="0"/>
    <pivotField showAll="0">
      <items count="7">
        <item x="3"/>
        <item x="1"/>
        <item x="0"/>
        <item x="2"/>
        <item x="4"/>
        <item x="5"/>
        <item t="default"/>
      </items>
    </pivotField>
    <pivotField showAll="0"/>
    <pivotField showAll="0"/>
    <pivotField showAll="0"/>
    <pivotField showAll="0"/>
    <pivotField showAll="0">
      <items count="5">
        <item x="0"/>
        <item x="2"/>
        <item x="1"/>
        <item m="1" x="3"/>
        <item t="default"/>
      </items>
    </pivotField>
    <pivotField showAll="0"/>
    <pivotField axis="axisRow" showAll="0">
      <items count="8">
        <item x="4"/>
        <item x="3"/>
        <item x="6"/>
        <item x="0"/>
        <item x="2"/>
        <item x="1"/>
        <item x="5"/>
        <item t="default"/>
      </items>
    </pivotField>
    <pivotField showAll="0"/>
    <pivotField showAll="0"/>
    <pivotField showAll="0"/>
    <pivotField showAll="0"/>
    <pivotField showAll="0"/>
  </pivotFields>
  <rowFields count="1">
    <field x="13"/>
  </rowFields>
  <rowItems count="8">
    <i>
      <x/>
    </i>
    <i>
      <x v="1"/>
    </i>
    <i>
      <x v="2"/>
    </i>
    <i>
      <x v="3"/>
    </i>
    <i>
      <x v="4"/>
    </i>
    <i>
      <x v="5"/>
    </i>
    <i>
      <x v="6"/>
    </i>
    <i t="grand">
      <x/>
    </i>
  </rowItems>
  <colItems count="1">
    <i/>
  </colItems>
  <dataFields count="1">
    <dataField name="Count of Record_ID" fld="0" subtotal="count" baseField="0" baseItem="0"/>
  </dataFields>
  <chartFormats count="1">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A19F3D53-F536-4756-8F5E-EA21E50B6205}" name="PivotTable5"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Facility">
  <location ref="I3:M11" firstHeaderRow="1" firstDataRow="2" firstDataCol="1"/>
  <pivotFields count="19">
    <pivotField showAll="0"/>
    <pivotField numFmtId="14" showAll="0"/>
    <pivotField showAll="0">
      <items count="7">
        <item x="2"/>
        <item x="0"/>
        <item x="1"/>
        <item x="4"/>
        <item x="3"/>
        <item m="1" x="5"/>
        <item t="default"/>
      </items>
    </pivotField>
    <pivotField showAll="0"/>
    <pivotField axis="axisRow" showAll="0">
      <items count="8">
        <item x="4"/>
        <item x="5"/>
        <item x="3"/>
        <item x="2"/>
        <item x="1"/>
        <item x="0"/>
        <item m="1" x="6"/>
        <item t="default"/>
      </items>
    </pivotField>
    <pivotField showAll="0"/>
    <pivotField showAll="0">
      <items count="7">
        <item x="3"/>
        <item x="1"/>
        <item x="0"/>
        <item x="2"/>
        <item x="4"/>
        <item x="5"/>
        <item t="default"/>
      </items>
    </pivotField>
    <pivotField showAll="0"/>
    <pivotField showAll="0"/>
    <pivotField showAll="0"/>
    <pivotField dataField="1" showAll="0"/>
    <pivotField axis="axisCol" showAll="0">
      <items count="5">
        <item x="0"/>
        <item x="2"/>
        <item x="1"/>
        <item m="1" x="3"/>
        <item t="default"/>
      </items>
    </pivotField>
    <pivotField showAll="0"/>
    <pivotField showAll="0">
      <items count="8">
        <item x="4"/>
        <item x="3"/>
        <item x="6"/>
        <item x="0"/>
        <item x="2"/>
        <item x="1"/>
        <item x="5"/>
        <item t="default"/>
      </items>
    </pivotField>
    <pivotField showAll="0"/>
    <pivotField showAll="0"/>
    <pivotField showAll="0"/>
    <pivotField showAll="0"/>
    <pivotField showAll="0"/>
  </pivotFields>
  <rowFields count="1">
    <field x="4"/>
  </rowFields>
  <rowItems count="7">
    <i>
      <x/>
    </i>
    <i>
      <x v="1"/>
    </i>
    <i>
      <x v="2"/>
    </i>
    <i>
      <x v="3"/>
    </i>
    <i>
      <x v="4"/>
    </i>
    <i>
      <x v="5"/>
    </i>
    <i t="grand">
      <x/>
    </i>
  </rowItems>
  <colFields count="1">
    <field x="11"/>
  </colFields>
  <colItems count="4">
    <i>
      <x/>
    </i>
    <i>
      <x v="1"/>
    </i>
    <i>
      <x v="2"/>
    </i>
    <i t="grand">
      <x/>
    </i>
  </colItems>
  <dataFields count="1">
    <dataField name="Delivery_Mode" fld="1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1E74426C-F5DE-449A-B1AE-1EBA08919C88}" name="PivotTable9"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rowHeaderCaption="facility">
  <location ref="E3:F10" firstHeaderRow="1" firstDataRow="1" firstDataCol="1"/>
  <pivotFields count="19">
    <pivotField dataField="1" showAll="0"/>
    <pivotField numFmtId="14" showAll="0"/>
    <pivotField showAll="0">
      <items count="7">
        <item x="2"/>
        <item x="0"/>
        <item x="1"/>
        <item x="4"/>
        <item x="3"/>
        <item m="1" x="5"/>
        <item t="default"/>
      </items>
    </pivotField>
    <pivotField showAll="0"/>
    <pivotField axis="axisRow" showAll="0">
      <items count="8">
        <item x="4"/>
        <item x="5"/>
        <item x="3"/>
        <item x="2"/>
        <item x="1"/>
        <item x="0"/>
        <item m="1" x="6"/>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4"/>
  </rowFields>
  <rowItems count="7">
    <i>
      <x/>
    </i>
    <i>
      <x v="1"/>
    </i>
    <i>
      <x v="2"/>
    </i>
    <i>
      <x v="3"/>
    </i>
    <i>
      <x v="4"/>
    </i>
    <i>
      <x v="5"/>
    </i>
    <i t="grand">
      <x/>
    </i>
  </rowItems>
  <colItems count="1">
    <i/>
  </colItems>
  <dataFields count="1">
    <dataField name="Count of Record_ID" fld="0" subtotal="count" baseField="0" baseItem="0"/>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e" xr10:uid="{1F9F40FF-80BE-44AF-85F6-47CBF36096A0}" sourceName="State">
  <pivotTables>
    <pivotTable tabId="10" name="PivotTable4"/>
    <pivotTable tabId="10" name="PivotTable10"/>
    <pivotTable tabId="10" name="PivotTable11"/>
    <pivotTable tabId="10" name="PivotTable12"/>
    <pivotTable tabId="10" name="PivotTable13"/>
    <pivotTable tabId="10" name="PivotTable15"/>
    <pivotTable tabId="10" name="PivotTable16"/>
    <pivotTable tabId="10" name="PivotTable17"/>
    <pivotTable tabId="10" name="PivotTable19"/>
    <pivotTable tabId="10" name="PivotTable2"/>
    <pivotTable tabId="10" name="PivotTable20"/>
    <pivotTable tabId="10" name="PivotTable5"/>
    <pivotTable tabId="10" name="PivotTable6"/>
    <pivotTable tabId="10" name="PivotTable7"/>
    <pivotTable tabId="10" name="PivotTable8"/>
    <pivotTable tabId="10" name="PivotTable9"/>
  </pivotTables>
  <data>
    <tabular pivotCacheId="1642793989">
      <items count="6">
        <i x="2" s="1"/>
        <i x="0" s="1"/>
        <i x="1" s="1"/>
        <i x="4" s="1"/>
        <i x="3" s="1"/>
        <i x="5" s="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Facility" xr10:uid="{76ADFBDC-293A-40E0-9708-E06ED910A05E}" sourceName="Facility">
  <pivotTables>
    <pivotTable tabId="10" name="PivotTable4"/>
    <pivotTable tabId="10" name="PivotTable10"/>
    <pivotTable tabId="10" name="PivotTable11"/>
    <pivotTable tabId="10" name="PivotTable12"/>
    <pivotTable tabId="10" name="PivotTable13"/>
    <pivotTable tabId="10" name="PivotTable15"/>
    <pivotTable tabId="10" name="PivotTable16"/>
    <pivotTable tabId="10" name="PivotTable17"/>
    <pivotTable tabId="10" name="PivotTable19"/>
    <pivotTable tabId="10" name="PivotTable2"/>
    <pivotTable tabId="10" name="PivotTable20"/>
    <pivotTable tabId="10" name="PivotTable5"/>
    <pivotTable tabId="10" name="PivotTable6"/>
    <pivotTable tabId="10" name="PivotTable7"/>
    <pivotTable tabId="10" name="PivotTable8"/>
    <pivotTable tabId="10" name="PivotTable9"/>
  </pivotTables>
  <data>
    <tabular pivotCacheId="1642793989">
      <items count="7">
        <i x="4" s="1"/>
        <i x="5" s="1"/>
        <i x="3" s="1"/>
        <i x="2" s="1"/>
        <i x="1" s="1"/>
        <i x="0" s="1"/>
        <i x="6" s="1"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ternal_Age" xr10:uid="{61CE0973-700A-454C-A29C-3830F1315B27}" sourceName="Maternal_Age">
  <pivotTables>
    <pivotTable tabId="10" name="PivotTable4"/>
  </pivotTables>
  <data>
    <tabular pivotCacheId="1642793989">
      <items count="24">
        <i x="9" s="1"/>
        <i x="23" s="1"/>
        <i x="13" s="1"/>
        <i x="22" s="1"/>
        <i x="12" s="1"/>
        <i x="6" s="1"/>
        <i x="20" s="1"/>
        <i x="16" s="1"/>
        <i x="5" s="1"/>
        <i x="2" s="1"/>
        <i x="1" s="1"/>
        <i x="19" s="1"/>
        <i x="4" s="1"/>
        <i x="8" s="1"/>
        <i x="0" s="1"/>
        <i x="7" s="1"/>
        <i x="11" s="1"/>
        <i x="15" s="1"/>
        <i x="10" s="1"/>
        <i x="3" s="1"/>
        <i x="21" s="1"/>
        <i x="14" s="1"/>
        <i x="17" s="1"/>
        <i x="18"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ge_Group" xr10:uid="{D8C024AB-C52A-4E35-A2B9-79E4EF475381}" sourceName="Age_Group">
  <pivotTables>
    <pivotTable tabId="10" name="PivotTable4"/>
    <pivotTable tabId="10" name="PivotTable10"/>
    <pivotTable tabId="10" name="PivotTable11"/>
    <pivotTable tabId="10" name="PivotTable12"/>
    <pivotTable tabId="10" name="PivotTable13"/>
    <pivotTable tabId="10" name="PivotTable15"/>
    <pivotTable tabId="10" name="PivotTable16"/>
    <pivotTable tabId="10" name="PivotTable17"/>
    <pivotTable tabId="10" name="PivotTable19"/>
    <pivotTable tabId="10" name="PivotTable2"/>
    <pivotTable tabId="10" name="PivotTable20"/>
    <pivotTable tabId="10" name="PivotTable5"/>
    <pivotTable tabId="10" name="PivotTable6"/>
    <pivotTable tabId="10" name="PivotTable7"/>
  </pivotTables>
  <data>
    <tabular pivotCacheId="1642793989">
      <items count="6">
        <i x="3" s="1"/>
        <i x="1" s="1"/>
        <i x="0" s="1"/>
        <i x="2" s="1"/>
        <i x="4" s="1"/>
        <i x="5"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tate" xr10:uid="{F71D57DB-7B3A-4D85-B7C4-E4DDDBD16FD2}" cache="Slicer_State" caption="State" rowHeight="234950"/>
  <slicer name="Facility" xr10:uid="{4E665BE0-2B15-4B7B-9244-86E18917593C}" cache="Slicer_Facility" caption="Facility" rowHeight="234950"/>
  <slicer name="Maternal_Age" xr10:uid="{97E470FA-FD23-45D6-A057-208B013A6583}" cache="Slicer_Maternal_Age" caption="Maternal_Age" rowHeight="234950"/>
  <slicer name="Age_Group" xr10:uid="{555ECBA3-3AE2-4524-8331-D6E07175A847}" cache="Slicer_Age_Group" caption="Age_Group"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8476E8E4-C614-4F22-80D6-E3DF72EA82E3}" name="MaternalHealth" displayName="MaternalHealth" ref="A1:S151" totalsRowShown="0" headerRowDxfId="4" headerRowBorderDxfId="3" tableBorderDxfId="2">
  <autoFilter ref="A1:S151" xr:uid="{00000000-0009-0000-0000-000000000000}"/>
  <tableColumns count="19">
    <tableColumn id="1" xr3:uid="{4A8987B2-0663-4686-8B05-6777DF0CB278}" name="Record_ID"/>
    <tableColumn id="2" xr3:uid="{394D4B11-39A6-41B5-9D76-E5A001DB819C}" name="Delivery_Date" dataDxfId="1"/>
    <tableColumn id="3" xr3:uid="{6F1DBACE-32F9-4193-950F-13416B4FA122}" name="State"/>
    <tableColumn id="4" xr3:uid="{697AA227-6736-4D38-A3F4-9488579157F9}" name="LGA"/>
    <tableColumn id="5" xr3:uid="{100F83EA-AD8C-43B9-8B75-89B4D38C8E14}" name="Facility"/>
    <tableColumn id="6" xr3:uid="{7041DC9D-3272-4AC1-923D-8163EB9DB595}" name="Maternal_Age"/>
    <tableColumn id="7" xr3:uid="{32943421-4DA8-465B-8A3B-832410196DAD}" name="Age_Group" dataDxfId="0">
      <calculatedColumnFormula>IF(F2&lt;25,"18-24",IF(F2&lt;30,"25-29",IF(F2&lt;35,"30-34",IF(F2&lt;40,"35-40",IF(F2&lt;45,"40-45","45+")))))</calculatedColumnFormula>
    </tableColumn>
    <tableColumn id="8" xr3:uid="{D0048E24-AD00-469A-861B-5C66BAF816DA}" name="Gravidity"/>
    <tableColumn id="9" xr3:uid="{68F3FBD9-1A67-490C-BD4A-E1CEECFEA4AD}" name="Parity"/>
    <tableColumn id="10" xr3:uid="{0B169E8F-D275-47E4-9AA4-03E26E1A352B}" name="ANC_Visits"/>
    <tableColumn id="11" xr3:uid="{AD46F413-53E3-4889-88E9-0C95AA9E6643}" name="Dalivery_Mode"/>
    <tableColumn id="12" xr3:uid="{FB0708FA-B7A3-49A3-959A-D3026C4C0D18}" name="Birth_Outcome"/>
    <tableColumn id="13" xr3:uid="{DEDD4411-2003-46BA-B2B5-349D530D22C6}" name="Birth_Weight_Kg"/>
    <tableColumn id="14" xr3:uid="{98F85473-C481-473C-88D4-261061ABB29E}" name="Maternal_Complication"/>
    <tableColumn id="15" xr3:uid="{6F0477B8-F4C5-4D58-B1D9-65FF8D2AB6BC}" name="Maternal_Death"/>
    <tableColumn id="16" xr3:uid="{43C68ABA-E551-42C9-9EB9-E66DBD531F28}" name="Delivery_Cost_NGN"/>
    <tableColumn id="17" xr3:uid="{5772AFA7-4E58-48DA-BD18-509ADB1424D3}" name="Length_of_Stay_Days"/>
    <tableColumn id="18" xr3:uid="{0798AF2E-FC4E-4466-BED9-74E09CB7893F}" name="Referral"/>
    <tableColumn id="19" xr3:uid="{EC73DAEC-CBB8-4ED7-A5A7-20C775E9CE73}" name="ANC_Attended"/>
  </tableColumns>
  <tableStyleInfo name="TableStyleMedium14"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4.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6" Type="http://schemas.openxmlformats.org/officeDocument/2006/relationships/pivotTable" Target="../pivotTables/pivotTable16.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openxmlformats.org/officeDocument/2006/relationships/pivotTable" Target="../pivotTables/pivotTable1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s>
</file>

<file path=xl/worksheets/_rels/sheet5.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6.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R152"/>
  <sheetViews>
    <sheetView zoomScale="98" zoomScaleNormal="98" workbookViewId="0">
      <pane ySplit="1" topLeftCell="A2" activePane="bottomLeft" state="frozen"/>
      <selection pane="bottomLeft" activeCell="K177" sqref="K177"/>
    </sheetView>
  </sheetViews>
  <sheetFormatPr defaultRowHeight="14.4" x14ac:dyDescent="0.3"/>
  <cols>
    <col min="1" max="1" width="12" customWidth="1"/>
    <col min="2" max="2" width="28" customWidth="1"/>
    <col min="3" max="3" width="12" customWidth="1"/>
    <col min="4" max="4" width="21" customWidth="1"/>
    <col min="5" max="5" width="24" customWidth="1"/>
    <col min="6" max="6" width="14" customWidth="1"/>
    <col min="7" max="9" width="12" customWidth="1"/>
    <col min="10" max="10" width="19" customWidth="1"/>
    <col min="11" max="11" width="16" customWidth="1"/>
    <col min="12" max="12" width="17" customWidth="1"/>
    <col min="13" max="13" width="24" customWidth="1"/>
    <col min="14" max="14" width="16" customWidth="1"/>
    <col min="15" max="15" width="19" customWidth="1"/>
    <col min="16" max="16" width="21" customWidth="1"/>
    <col min="17" max="17" width="12" customWidth="1"/>
    <col min="18" max="18" width="14" customWidth="1"/>
  </cols>
  <sheetData>
    <row r="1" spans="1:18"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row>
    <row r="2" spans="1:18" x14ac:dyDescent="0.3">
      <c r="A2" t="s">
        <v>18</v>
      </c>
      <c r="B2" s="2">
        <v>45852</v>
      </c>
      <c r="C2" t="s">
        <v>19</v>
      </c>
      <c r="D2" t="s">
        <v>20</v>
      </c>
      <c r="E2" t="s">
        <v>21</v>
      </c>
      <c r="F2">
        <v>31</v>
      </c>
      <c r="G2">
        <v>6</v>
      </c>
      <c r="H2">
        <v>2</v>
      </c>
      <c r="I2">
        <v>4</v>
      </c>
      <c r="J2" t="s">
        <v>22</v>
      </c>
      <c r="K2" t="s">
        <v>23</v>
      </c>
      <c r="L2">
        <v>3.46</v>
      </c>
      <c r="M2" t="s">
        <v>24</v>
      </c>
      <c r="N2" t="s">
        <v>25</v>
      </c>
      <c r="O2">
        <v>103075</v>
      </c>
      <c r="P2">
        <v>1</v>
      </c>
      <c r="Q2" t="s">
        <v>25</v>
      </c>
      <c r="R2" t="s">
        <v>26</v>
      </c>
    </row>
    <row r="3" spans="1:18" x14ac:dyDescent="0.3">
      <c r="A3" t="s">
        <v>27</v>
      </c>
      <c r="B3" s="2">
        <v>45959</v>
      </c>
      <c r="C3" t="s">
        <v>28</v>
      </c>
      <c r="D3" t="s">
        <v>29</v>
      </c>
      <c r="E3" t="s">
        <v>30</v>
      </c>
      <c r="F3">
        <v>27</v>
      </c>
      <c r="G3">
        <v>1</v>
      </c>
      <c r="H3">
        <v>0</v>
      </c>
      <c r="I3">
        <v>8</v>
      </c>
      <c r="J3" t="s">
        <v>31</v>
      </c>
      <c r="K3" t="s">
        <v>23</v>
      </c>
      <c r="L3">
        <v>3.52</v>
      </c>
      <c r="M3" t="s">
        <v>24</v>
      </c>
      <c r="N3" t="s">
        <v>25</v>
      </c>
      <c r="O3">
        <v>53263</v>
      </c>
      <c r="P3">
        <v>2</v>
      </c>
      <c r="Q3" t="s">
        <v>25</v>
      </c>
      <c r="R3" t="s">
        <v>26</v>
      </c>
    </row>
    <row r="4" spans="1:18" x14ac:dyDescent="0.3">
      <c r="A4" t="s">
        <v>32</v>
      </c>
      <c r="B4" s="2">
        <v>46008</v>
      </c>
      <c r="C4" t="s">
        <v>28</v>
      </c>
      <c r="D4" t="s">
        <v>29</v>
      </c>
      <c r="E4" t="s">
        <v>33</v>
      </c>
      <c r="F4">
        <v>26</v>
      </c>
      <c r="G4">
        <v>2</v>
      </c>
      <c r="H4">
        <v>1</v>
      </c>
      <c r="I4">
        <v>4</v>
      </c>
      <c r="J4" t="s">
        <v>22</v>
      </c>
      <c r="K4" t="s">
        <v>23</v>
      </c>
      <c r="L4">
        <v>3.23</v>
      </c>
      <c r="M4" t="s">
        <v>24</v>
      </c>
      <c r="N4" t="s">
        <v>25</v>
      </c>
      <c r="O4">
        <v>17167</v>
      </c>
      <c r="P4">
        <v>1</v>
      </c>
      <c r="Q4" t="s">
        <v>25</v>
      </c>
      <c r="R4" t="s">
        <v>26</v>
      </c>
    </row>
    <row r="5" spans="1:18" x14ac:dyDescent="0.3">
      <c r="A5" t="s">
        <v>34</v>
      </c>
      <c r="B5" s="2">
        <v>45646</v>
      </c>
      <c r="C5" t="s">
        <v>35</v>
      </c>
      <c r="D5" t="s">
        <v>36</v>
      </c>
      <c r="E5" t="s">
        <v>37</v>
      </c>
      <c r="F5">
        <v>26</v>
      </c>
      <c r="G5">
        <v>2</v>
      </c>
      <c r="H5">
        <v>0</v>
      </c>
      <c r="I5">
        <v>2</v>
      </c>
      <c r="J5" t="s">
        <v>38</v>
      </c>
      <c r="K5" t="s">
        <v>23</v>
      </c>
      <c r="L5">
        <v>3.27</v>
      </c>
      <c r="M5" t="s">
        <v>24</v>
      </c>
      <c r="N5" t="s">
        <v>25</v>
      </c>
      <c r="O5">
        <v>122299</v>
      </c>
      <c r="P5">
        <v>1</v>
      </c>
      <c r="Q5" t="s">
        <v>26</v>
      </c>
      <c r="R5" t="s">
        <v>26</v>
      </c>
    </row>
    <row r="6" spans="1:18" x14ac:dyDescent="0.3">
      <c r="A6" t="s">
        <v>39</v>
      </c>
      <c r="B6" s="2">
        <v>45937</v>
      </c>
      <c r="C6" t="s">
        <v>35</v>
      </c>
      <c r="D6" t="s">
        <v>40</v>
      </c>
      <c r="E6" t="s">
        <v>37</v>
      </c>
      <c r="F6">
        <v>36</v>
      </c>
      <c r="G6">
        <v>6</v>
      </c>
      <c r="H6">
        <v>3</v>
      </c>
      <c r="I6">
        <v>4</v>
      </c>
      <c r="J6" t="s">
        <v>41</v>
      </c>
      <c r="K6" t="s">
        <v>42</v>
      </c>
      <c r="L6">
        <v>3.14</v>
      </c>
      <c r="M6" t="s">
        <v>43</v>
      </c>
      <c r="N6" t="s">
        <v>25</v>
      </c>
      <c r="O6">
        <v>29381</v>
      </c>
      <c r="P6">
        <v>1</v>
      </c>
      <c r="Q6" t="s">
        <v>25</v>
      </c>
      <c r="R6" t="s">
        <v>26</v>
      </c>
    </row>
    <row r="7" spans="1:18" x14ac:dyDescent="0.3">
      <c r="A7" t="s">
        <v>44</v>
      </c>
      <c r="B7" s="2">
        <v>45532</v>
      </c>
      <c r="C7" t="s">
        <v>35</v>
      </c>
      <c r="D7" t="s">
        <v>45</v>
      </c>
      <c r="E7" t="s">
        <v>21</v>
      </c>
      <c r="F7">
        <v>29</v>
      </c>
      <c r="G7">
        <v>6</v>
      </c>
      <c r="H7">
        <v>0</v>
      </c>
      <c r="I7">
        <v>2</v>
      </c>
      <c r="J7" t="s">
        <v>22</v>
      </c>
      <c r="K7" t="s">
        <v>23</v>
      </c>
      <c r="L7">
        <v>3.31</v>
      </c>
      <c r="M7" t="s">
        <v>24</v>
      </c>
      <c r="N7" t="s">
        <v>25</v>
      </c>
      <c r="O7">
        <v>49984</v>
      </c>
      <c r="P7">
        <v>1</v>
      </c>
      <c r="Q7" t="s">
        <v>46</v>
      </c>
      <c r="R7" t="s">
        <v>26</v>
      </c>
    </row>
    <row r="8" spans="1:18" x14ac:dyDescent="0.3">
      <c r="A8" t="s">
        <v>47</v>
      </c>
      <c r="B8" s="2">
        <v>45367</v>
      </c>
      <c r="C8" t="s">
        <v>48</v>
      </c>
      <c r="D8" t="s">
        <v>49</v>
      </c>
      <c r="E8" t="s">
        <v>37</v>
      </c>
      <c r="F8">
        <v>25</v>
      </c>
      <c r="G8">
        <v>4</v>
      </c>
      <c r="H8">
        <v>2</v>
      </c>
      <c r="I8">
        <v>8</v>
      </c>
      <c r="J8" t="s">
        <v>22</v>
      </c>
      <c r="K8" t="s">
        <v>23</v>
      </c>
      <c r="L8">
        <v>3.09</v>
      </c>
      <c r="M8" t="s">
        <v>50</v>
      </c>
      <c r="N8" t="s">
        <v>25</v>
      </c>
      <c r="O8">
        <v>38557</v>
      </c>
      <c r="P8">
        <v>3</v>
      </c>
      <c r="Q8" t="s">
        <v>25</v>
      </c>
      <c r="R8" t="s">
        <v>26</v>
      </c>
    </row>
    <row r="9" spans="1:18" x14ac:dyDescent="0.3">
      <c r="A9" t="s">
        <v>51</v>
      </c>
      <c r="B9" s="2">
        <v>45351</v>
      </c>
      <c r="C9" t="s">
        <v>52</v>
      </c>
      <c r="D9" t="s">
        <v>53</v>
      </c>
      <c r="E9" t="s">
        <v>54</v>
      </c>
      <c r="F9">
        <v>22</v>
      </c>
      <c r="G9">
        <v>2</v>
      </c>
      <c r="H9">
        <v>1</v>
      </c>
      <c r="I9">
        <v>5</v>
      </c>
      <c r="J9" t="s">
        <v>22</v>
      </c>
      <c r="K9" t="s">
        <v>55</v>
      </c>
      <c r="L9">
        <v>2.02</v>
      </c>
      <c r="M9" t="s">
        <v>50</v>
      </c>
      <c r="N9" t="s">
        <v>25</v>
      </c>
      <c r="O9">
        <v>31795</v>
      </c>
      <c r="P9">
        <v>2</v>
      </c>
      <c r="Q9" t="s">
        <v>25</v>
      </c>
      <c r="R9" t="s">
        <v>26</v>
      </c>
    </row>
    <row r="10" spans="1:18" x14ac:dyDescent="0.3">
      <c r="A10" t="s">
        <v>56</v>
      </c>
      <c r="B10" s="2">
        <v>45511</v>
      </c>
      <c r="C10" t="s">
        <v>19</v>
      </c>
      <c r="D10" t="s">
        <v>57</v>
      </c>
      <c r="E10" t="s">
        <v>30</v>
      </c>
      <c r="F10">
        <v>32</v>
      </c>
      <c r="G10">
        <v>4</v>
      </c>
      <c r="H10">
        <v>2</v>
      </c>
      <c r="I10">
        <v>5</v>
      </c>
      <c r="J10" t="s">
        <v>22</v>
      </c>
      <c r="K10" t="s">
        <v>23</v>
      </c>
      <c r="L10">
        <v>3.04</v>
      </c>
      <c r="M10" t="s">
        <v>24</v>
      </c>
      <c r="N10" t="s">
        <v>25</v>
      </c>
      <c r="O10">
        <v>57472</v>
      </c>
      <c r="P10">
        <v>1</v>
      </c>
      <c r="Q10" t="s">
        <v>25</v>
      </c>
      <c r="R10" t="s">
        <v>26</v>
      </c>
    </row>
    <row r="11" spans="1:18" x14ac:dyDescent="0.3">
      <c r="A11" t="s">
        <v>58</v>
      </c>
      <c r="B11" s="2">
        <v>45892</v>
      </c>
      <c r="C11" t="s">
        <v>59</v>
      </c>
      <c r="D11" t="s">
        <v>60</v>
      </c>
      <c r="E11" t="s">
        <v>33</v>
      </c>
      <c r="F11">
        <v>25</v>
      </c>
      <c r="G11">
        <v>6</v>
      </c>
      <c r="H11">
        <v>3</v>
      </c>
      <c r="I11">
        <v>4</v>
      </c>
      <c r="J11" t="s">
        <v>61</v>
      </c>
      <c r="K11" t="s">
        <v>23</v>
      </c>
      <c r="L11">
        <v>3.68</v>
      </c>
      <c r="N11" t="s">
        <v>25</v>
      </c>
      <c r="O11">
        <v>73590</v>
      </c>
      <c r="P11">
        <v>1</v>
      </c>
      <c r="Q11" t="s">
        <v>25</v>
      </c>
      <c r="R11" t="s">
        <v>26</v>
      </c>
    </row>
    <row r="12" spans="1:18" x14ac:dyDescent="0.3">
      <c r="A12" t="s">
        <v>62</v>
      </c>
      <c r="B12" s="2">
        <v>45406</v>
      </c>
      <c r="C12" t="s">
        <v>28</v>
      </c>
      <c r="D12" t="s">
        <v>29</v>
      </c>
      <c r="F12">
        <v>30</v>
      </c>
      <c r="G12">
        <v>3</v>
      </c>
      <c r="H12">
        <v>1</v>
      </c>
      <c r="I12">
        <v>4</v>
      </c>
      <c r="J12" t="s">
        <v>38</v>
      </c>
      <c r="K12" t="s">
        <v>23</v>
      </c>
      <c r="L12">
        <v>2.73</v>
      </c>
      <c r="M12" t="s">
        <v>24</v>
      </c>
      <c r="N12" t="s">
        <v>25</v>
      </c>
      <c r="O12">
        <v>160291</v>
      </c>
      <c r="P12">
        <v>5</v>
      </c>
      <c r="Q12" t="s">
        <v>25</v>
      </c>
      <c r="R12" t="s">
        <v>26</v>
      </c>
    </row>
    <row r="13" spans="1:18" x14ac:dyDescent="0.3">
      <c r="A13" t="s">
        <v>63</v>
      </c>
      <c r="B13" s="2">
        <v>45860</v>
      </c>
      <c r="C13" t="s">
        <v>52</v>
      </c>
      <c r="D13" t="s">
        <v>64</v>
      </c>
      <c r="E13" t="s">
        <v>21</v>
      </c>
      <c r="F13">
        <v>16</v>
      </c>
      <c r="G13">
        <v>5</v>
      </c>
      <c r="H13">
        <v>0</v>
      </c>
      <c r="J13" t="s">
        <v>22</v>
      </c>
      <c r="K13" t="s">
        <v>23</v>
      </c>
      <c r="L13">
        <v>2.93</v>
      </c>
      <c r="M13" t="s">
        <v>24</v>
      </c>
      <c r="N13" t="s">
        <v>25</v>
      </c>
      <c r="P13">
        <v>3</v>
      </c>
      <c r="Q13" t="s">
        <v>65</v>
      </c>
      <c r="R13" t="s">
        <v>26</v>
      </c>
    </row>
    <row r="14" spans="1:18" x14ac:dyDescent="0.3">
      <c r="A14" t="s">
        <v>66</v>
      </c>
      <c r="B14" s="2">
        <v>45563</v>
      </c>
      <c r="C14" t="s">
        <v>19</v>
      </c>
      <c r="D14" t="s">
        <v>57</v>
      </c>
      <c r="E14" t="s">
        <v>37</v>
      </c>
      <c r="F14">
        <v>26</v>
      </c>
      <c r="G14">
        <v>7</v>
      </c>
      <c r="H14">
        <v>5</v>
      </c>
      <c r="I14">
        <v>4</v>
      </c>
      <c r="J14" t="s">
        <v>22</v>
      </c>
      <c r="K14" t="s">
        <v>23</v>
      </c>
      <c r="L14">
        <v>2.4900000000000002</v>
      </c>
      <c r="M14" t="s">
        <v>24</v>
      </c>
      <c r="N14" t="s">
        <v>25</v>
      </c>
      <c r="O14">
        <v>35094</v>
      </c>
      <c r="P14">
        <v>3</v>
      </c>
      <c r="Q14" t="s">
        <v>26</v>
      </c>
      <c r="R14" t="s">
        <v>26</v>
      </c>
    </row>
    <row r="15" spans="1:18" x14ac:dyDescent="0.3">
      <c r="A15" t="s">
        <v>67</v>
      </c>
      <c r="B15" s="2">
        <v>45459</v>
      </c>
      <c r="C15" t="s">
        <v>52</v>
      </c>
      <c r="D15" t="s">
        <v>68</v>
      </c>
      <c r="E15" t="s">
        <v>37</v>
      </c>
      <c r="F15">
        <v>35</v>
      </c>
      <c r="G15">
        <v>7</v>
      </c>
      <c r="H15">
        <v>5</v>
      </c>
      <c r="I15">
        <v>4</v>
      </c>
      <c r="J15" t="s">
        <v>22</v>
      </c>
      <c r="K15" t="s">
        <v>23</v>
      </c>
      <c r="L15">
        <v>3.65</v>
      </c>
      <c r="M15" t="s">
        <v>24</v>
      </c>
      <c r="N15" t="s">
        <v>25</v>
      </c>
      <c r="O15">
        <v>74040</v>
      </c>
      <c r="P15">
        <v>1</v>
      </c>
      <c r="Q15" t="s">
        <v>26</v>
      </c>
      <c r="R15" t="s">
        <v>26</v>
      </c>
    </row>
    <row r="16" spans="1:18" x14ac:dyDescent="0.3">
      <c r="A16" t="s">
        <v>69</v>
      </c>
      <c r="B16" s="2">
        <v>45608</v>
      </c>
      <c r="C16" t="s">
        <v>28</v>
      </c>
      <c r="D16" t="s">
        <v>70</v>
      </c>
      <c r="E16" t="s">
        <v>54</v>
      </c>
      <c r="F16">
        <v>30</v>
      </c>
      <c r="G16">
        <v>5</v>
      </c>
      <c r="H16">
        <v>2</v>
      </c>
      <c r="I16">
        <v>8</v>
      </c>
      <c r="J16" t="s">
        <v>22</v>
      </c>
      <c r="K16" t="s">
        <v>23</v>
      </c>
      <c r="L16">
        <v>3.08</v>
      </c>
      <c r="M16" t="s">
        <v>24</v>
      </c>
      <c r="N16" t="s">
        <v>25</v>
      </c>
      <c r="O16">
        <v>104116</v>
      </c>
      <c r="P16">
        <v>1</v>
      </c>
      <c r="Q16" t="s">
        <v>25</v>
      </c>
      <c r="R16" t="s">
        <v>26</v>
      </c>
    </row>
    <row r="17" spans="1:18" x14ac:dyDescent="0.3">
      <c r="A17" t="s">
        <v>71</v>
      </c>
      <c r="B17" s="2">
        <v>45422</v>
      </c>
      <c r="C17" t="s">
        <v>19</v>
      </c>
      <c r="D17" t="s">
        <v>72</v>
      </c>
      <c r="E17" t="s">
        <v>54</v>
      </c>
      <c r="F17">
        <v>33</v>
      </c>
      <c r="G17">
        <v>5</v>
      </c>
      <c r="H17">
        <v>0</v>
      </c>
      <c r="I17">
        <v>5</v>
      </c>
      <c r="J17" t="s">
        <v>22</v>
      </c>
      <c r="K17" t="s">
        <v>23</v>
      </c>
      <c r="L17">
        <v>2.94</v>
      </c>
      <c r="M17" t="s">
        <v>24</v>
      </c>
      <c r="N17" t="s">
        <v>25</v>
      </c>
      <c r="O17">
        <v>67294</v>
      </c>
      <c r="P17">
        <v>1</v>
      </c>
      <c r="Q17" t="s">
        <v>25</v>
      </c>
      <c r="R17" t="s">
        <v>26</v>
      </c>
    </row>
    <row r="18" spans="1:18" x14ac:dyDescent="0.3">
      <c r="A18" t="s">
        <v>73</v>
      </c>
      <c r="B18" s="2">
        <v>46024</v>
      </c>
      <c r="C18" t="s">
        <v>59</v>
      </c>
      <c r="D18" t="s">
        <v>74</v>
      </c>
      <c r="E18" t="s">
        <v>75</v>
      </c>
      <c r="F18">
        <v>27</v>
      </c>
      <c r="G18">
        <v>3</v>
      </c>
      <c r="H18">
        <v>3</v>
      </c>
      <c r="I18">
        <v>5</v>
      </c>
      <c r="J18" t="s">
        <v>38</v>
      </c>
      <c r="K18" t="s">
        <v>23</v>
      </c>
      <c r="L18">
        <v>3.91</v>
      </c>
      <c r="N18" t="s">
        <v>25</v>
      </c>
      <c r="O18">
        <v>132043</v>
      </c>
      <c r="P18">
        <v>2</v>
      </c>
      <c r="Q18" t="s">
        <v>25</v>
      </c>
      <c r="R18" t="s">
        <v>26</v>
      </c>
    </row>
    <row r="19" spans="1:18" x14ac:dyDescent="0.3">
      <c r="A19" t="s">
        <v>76</v>
      </c>
      <c r="B19" s="2">
        <v>45861</v>
      </c>
      <c r="C19" t="s">
        <v>59</v>
      </c>
      <c r="D19" t="s">
        <v>49</v>
      </c>
      <c r="E19" t="s">
        <v>54</v>
      </c>
      <c r="F19">
        <v>26</v>
      </c>
      <c r="G19">
        <v>4</v>
      </c>
      <c r="H19">
        <v>4</v>
      </c>
      <c r="I19">
        <v>6</v>
      </c>
      <c r="J19" t="s">
        <v>22</v>
      </c>
      <c r="K19" t="s">
        <v>23</v>
      </c>
      <c r="L19">
        <v>3.28</v>
      </c>
      <c r="M19" t="s">
        <v>24</v>
      </c>
      <c r="N19" t="s">
        <v>25</v>
      </c>
      <c r="O19">
        <v>51755</v>
      </c>
      <c r="P19">
        <v>2</v>
      </c>
      <c r="Q19" t="s">
        <v>26</v>
      </c>
      <c r="R19" t="s">
        <v>26</v>
      </c>
    </row>
    <row r="20" spans="1:18" x14ac:dyDescent="0.3">
      <c r="A20" t="s">
        <v>77</v>
      </c>
      <c r="B20" s="2">
        <v>45632</v>
      </c>
      <c r="C20" t="s">
        <v>28</v>
      </c>
      <c r="D20" t="s">
        <v>78</v>
      </c>
      <c r="E20" t="s">
        <v>21</v>
      </c>
      <c r="F20">
        <v>29</v>
      </c>
      <c r="G20">
        <v>1</v>
      </c>
      <c r="H20">
        <v>0</v>
      </c>
      <c r="I20">
        <v>6</v>
      </c>
      <c r="J20" t="s">
        <v>38</v>
      </c>
      <c r="K20" t="s">
        <v>23</v>
      </c>
      <c r="L20">
        <v>2.71</v>
      </c>
      <c r="M20" t="s">
        <v>24</v>
      </c>
      <c r="N20" t="s">
        <v>25</v>
      </c>
      <c r="O20">
        <v>136808</v>
      </c>
      <c r="P20">
        <v>3</v>
      </c>
      <c r="Q20" t="s">
        <v>26</v>
      </c>
      <c r="R20" t="s">
        <v>26</v>
      </c>
    </row>
    <row r="21" spans="1:18" x14ac:dyDescent="0.3">
      <c r="A21" t="s">
        <v>79</v>
      </c>
      <c r="B21" s="2">
        <v>45778</v>
      </c>
      <c r="C21" t="s">
        <v>28</v>
      </c>
      <c r="D21" t="s">
        <v>78</v>
      </c>
      <c r="E21" t="s">
        <v>54</v>
      </c>
      <c r="F21">
        <v>21</v>
      </c>
      <c r="G21">
        <v>3</v>
      </c>
      <c r="H21">
        <v>3</v>
      </c>
      <c r="I21">
        <v>5</v>
      </c>
      <c r="J21" t="s">
        <v>22</v>
      </c>
      <c r="K21" t="s">
        <v>23</v>
      </c>
      <c r="L21">
        <v>3.24</v>
      </c>
      <c r="M21" t="s">
        <v>80</v>
      </c>
      <c r="N21" t="s">
        <v>25</v>
      </c>
      <c r="O21">
        <v>65127</v>
      </c>
      <c r="P21">
        <v>1</v>
      </c>
      <c r="Q21" t="s">
        <v>25</v>
      </c>
      <c r="R21" t="s">
        <v>26</v>
      </c>
    </row>
    <row r="22" spans="1:18" x14ac:dyDescent="0.3">
      <c r="A22" t="s">
        <v>81</v>
      </c>
      <c r="B22" s="2">
        <v>45349</v>
      </c>
      <c r="C22" t="s">
        <v>59</v>
      </c>
      <c r="D22" t="s">
        <v>82</v>
      </c>
      <c r="E22" t="s">
        <v>30</v>
      </c>
      <c r="F22">
        <v>21</v>
      </c>
      <c r="G22">
        <v>2</v>
      </c>
      <c r="H22">
        <v>0</v>
      </c>
      <c r="I22">
        <v>4</v>
      </c>
      <c r="J22" t="s">
        <v>83</v>
      </c>
      <c r="K22" t="s">
        <v>23</v>
      </c>
      <c r="L22">
        <v>2.91</v>
      </c>
      <c r="M22" t="s">
        <v>24</v>
      </c>
      <c r="N22" t="s">
        <v>25</v>
      </c>
      <c r="O22">
        <v>44943</v>
      </c>
      <c r="P22">
        <v>1</v>
      </c>
      <c r="Q22" t="s">
        <v>25</v>
      </c>
      <c r="R22" t="s">
        <v>26</v>
      </c>
    </row>
    <row r="23" spans="1:18" x14ac:dyDescent="0.3">
      <c r="A23" t="s">
        <v>84</v>
      </c>
      <c r="B23" s="2">
        <v>45437</v>
      </c>
      <c r="C23" t="s">
        <v>85</v>
      </c>
      <c r="D23" t="s">
        <v>20</v>
      </c>
      <c r="E23" t="s">
        <v>33</v>
      </c>
      <c r="F23">
        <v>31</v>
      </c>
      <c r="G23">
        <v>4</v>
      </c>
      <c r="H23">
        <v>2</v>
      </c>
      <c r="I23">
        <v>8</v>
      </c>
      <c r="J23" t="s">
        <v>38</v>
      </c>
      <c r="K23" t="s">
        <v>23</v>
      </c>
      <c r="L23">
        <v>3.2</v>
      </c>
      <c r="M23" t="s">
        <v>24</v>
      </c>
      <c r="N23" t="s">
        <v>25</v>
      </c>
      <c r="O23">
        <v>151438</v>
      </c>
      <c r="P23">
        <v>3</v>
      </c>
      <c r="Q23" t="s">
        <v>25</v>
      </c>
      <c r="R23" t="s">
        <v>26</v>
      </c>
    </row>
    <row r="24" spans="1:18" x14ac:dyDescent="0.3">
      <c r="A24" t="s">
        <v>86</v>
      </c>
      <c r="B24" s="2">
        <v>45961</v>
      </c>
      <c r="C24" t="s">
        <v>52</v>
      </c>
      <c r="D24" t="s">
        <v>87</v>
      </c>
      <c r="E24" t="s">
        <v>37</v>
      </c>
      <c r="F24">
        <v>19</v>
      </c>
      <c r="G24">
        <v>4</v>
      </c>
      <c r="H24">
        <v>1</v>
      </c>
      <c r="I24">
        <v>4</v>
      </c>
      <c r="J24" t="s">
        <v>38</v>
      </c>
      <c r="K24" t="s">
        <v>23</v>
      </c>
      <c r="L24">
        <v>3.13</v>
      </c>
      <c r="M24" t="s">
        <v>88</v>
      </c>
      <c r="N24" t="s">
        <v>25</v>
      </c>
      <c r="O24">
        <v>206581</v>
      </c>
      <c r="P24">
        <v>3</v>
      </c>
      <c r="Q24" t="s">
        <v>26</v>
      </c>
      <c r="R24" t="s">
        <v>26</v>
      </c>
    </row>
    <row r="25" spans="1:18" x14ac:dyDescent="0.3">
      <c r="A25" t="s">
        <v>89</v>
      </c>
      <c r="B25" s="2">
        <v>45354</v>
      </c>
      <c r="C25" t="s">
        <v>85</v>
      </c>
      <c r="D25" t="s">
        <v>20</v>
      </c>
      <c r="E25" t="s">
        <v>54</v>
      </c>
      <c r="F25">
        <v>30</v>
      </c>
      <c r="G25">
        <v>7</v>
      </c>
      <c r="H25">
        <v>1</v>
      </c>
      <c r="I25">
        <v>4</v>
      </c>
      <c r="J25" t="s">
        <v>22</v>
      </c>
      <c r="K25" t="s">
        <v>23</v>
      </c>
      <c r="L25">
        <v>2.46</v>
      </c>
      <c r="M25" t="s">
        <v>24</v>
      </c>
      <c r="N25" t="s">
        <v>25</v>
      </c>
      <c r="O25">
        <v>93570</v>
      </c>
      <c r="P25">
        <v>3</v>
      </c>
      <c r="Q25" t="s">
        <v>25</v>
      </c>
      <c r="R25" t="s">
        <v>26</v>
      </c>
    </row>
    <row r="26" spans="1:18" x14ac:dyDescent="0.3">
      <c r="A26" t="s">
        <v>90</v>
      </c>
      <c r="B26" s="2">
        <v>45863</v>
      </c>
      <c r="C26" t="s">
        <v>59</v>
      </c>
      <c r="D26" t="s">
        <v>91</v>
      </c>
      <c r="E26" t="s">
        <v>30</v>
      </c>
      <c r="F26">
        <v>32</v>
      </c>
      <c r="G26">
        <v>4</v>
      </c>
      <c r="H26">
        <v>2</v>
      </c>
      <c r="I26">
        <v>3</v>
      </c>
      <c r="J26" t="s">
        <v>38</v>
      </c>
      <c r="K26" t="s">
        <v>23</v>
      </c>
      <c r="L26">
        <v>3.87</v>
      </c>
      <c r="M26" t="s">
        <v>24</v>
      </c>
      <c r="N26" t="s">
        <v>25</v>
      </c>
      <c r="O26">
        <v>109953</v>
      </c>
      <c r="P26">
        <v>4</v>
      </c>
      <c r="Q26" t="s">
        <v>25</v>
      </c>
      <c r="R26" t="s">
        <v>26</v>
      </c>
    </row>
    <row r="27" spans="1:18" x14ac:dyDescent="0.3">
      <c r="A27" t="s">
        <v>92</v>
      </c>
      <c r="B27" s="2">
        <v>45615</v>
      </c>
      <c r="C27" t="s">
        <v>59</v>
      </c>
      <c r="D27" t="s">
        <v>93</v>
      </c>
      <c r="E27" t="s">
        <v>21</v>
      </c>
      <c r="F27">
        <v>39</v>
      </c>
      <c r="G27">
        <v>2</v>
      </c>
      <c r="H27">
        <v>1</v>
      </c>
      <c r="I27">
        <v>3</v>
      </c>
      <c r="J27" t="s">
        <v>22</v>
      </c>
      <c r="K27" t="s">
        <v>23</v>
      </c>
      <c r="L27">
        <v>2.79</v>
      </c>
      <c r="M27" t="s">
        <v>94</v>
      </c>
      <c r="N27" t="s">
        <v>25</v>
      </c>
      <c r="O27">
        <v>67491</v>
      </c>
      <c r="P27">
        <v>1</v>
      </c>
      <c r="Q27" t="s">
        <v>26</v>
      </c>
      <c r="R27" t="s">
        <v>26</v>
      </c>
    </row>
    <row r="28" spans="1:18" x14ac:dyDescent="0.3">
      <c r="A28" t="s">
        <v>95</v>
      </c>
      <c r="B28" s="2">
        <v>45903</v>
      </c>
      <c r="C28" t="s">
        <v>85</v>
      </c>
      <c r="D28" t="s">
        <v>96</v>
      </c>
      <c r="E28" t="s">
        <v>21</v>
      </c>
      <c r="G28">
        <v>5</v>
      </c>
      <c r="H28">
        <v>4</v>
      </c>
      <c r="I28">
        <v>5</v>
      </c>
      <c r="J28" t="s">
        <v>22</v>
      </c>
      <c r="K28" t="s">
        <v>42</v>
      </c>
      <c r="L28">
        <v>2.52</v>
      </c>
      <c r="M28" t="s">
        <v>24</v>
      </c>
      <c r="N28" t="s">
        <v>25</v>
      </c>
      <c r="O28">
        <v>76839</v>
      </c>
      <c r="P28">
        <v>1</v>
      </c>
      <c r="Q28" t="s">
        <v>25</v>
      </c>
      <c r="R28" t="s">
        <v>26</v>
      </c>
    </row>
    <row r="29" spans="1:18" x14ac:dyDescent="0.3">
      <c r="A29" t="s">
        <v>97</v>
      </c>
      <c r="B29" s="2">
        <v>45872</v>
      </c>
      <c r="C29" t="s">
        <v>52</v>
      </c>
      <c r="D29" t="s">
        <v>64</v>
      </c>
      <c r="E29" t="s">
        <v>37</v>
      </c>
      <c r="F29">
        <v>36</v>
      </c>
      <c r="G29">
        <v>1</v>
      </c>
      <c r="H29">
        <v>0</v>
      </c>
      <c r="I29">
        <v>3</v>
      </c>
      <c r="J29" t="s">
        <v>22</v>
      </c>
      <c r="K29" t="s">
        <v>23</v>
      </c>
      <c r="L29">
        <v>2.92</v>
      </c>
      <c r="M29" t="s">
        <v>24</v>
      </c>
      <c r="N29" t="s">
        <v>25</v>
      </c>
      <c r="O29">
        <v>85337</v>
      </c>
      <c r="P29">
        <v>1</v>
      </c>
      <c r="Q29" t="s">
        <v>25</v>
      </c>
      <c r="R29" t="s">
        <v>26</v>
      </c>
    </row>
    <row r="30" spans="1:18" x14ac:dyDescent="0.3">
      <c r="A30" t="s">
        <v>98</v>
      </c>
      <c r="B30" s="2">
        <v>45601</v>
      </c>
      <c r="C30" t="s">
        <v>35</v>
      </c>
      <c r="D30" t="s">
        <v>36</v>
      </c>
      <c r="E30" t="s">
        <v>33</v>
      </c>
      <c r="F30">
        <v>30</v>
      </c>
      <c r="G30">
        <v>2</v>
      </c>
      <c r="H30">
        <v>2</v>
      </c>
      <c r="I30">
        <v>7</v>
      </c>
      <c r="J30" t="s">
        <v>38</v>
      </c>
      <c r="K30" t="s">
        <v>23</v>
      </c>
      <c r="L30">
        <v>2.2200000000000002</v>
      </c>
      <c r="M30" t="s">
        <v>99</v>
      </c>
      <c r="N30" t="s">
        <v>25</v>
      </c>
      <c r="O30">
        <v>149615</v>
      </c>
      <c r="P30">
        <v>4</v>
      </c>
      <c r="Q30" t="s">
        <v>25</v>
      </c>
      <c r="R30" t="s">
        <v>26</v>
      </c>
    </row>
    <row r="31" spans="1:18" x14ac:dyDescent="0.3">
      <c r="A31" t="s">
        <v>100</v>
      </c>
      <c r="B31" s="2">
        <v>45812</v>
      </c>
      <c r="C31" t="s">
        <v>35</v>
      </c>
      <c r="D31" t="s">
        <v>40</v>
      </c>
      <c r="E31" t="s">
        <v>75</v>
      </c>
      <c r="F31">
        <v>32</v>
      </c>
      <c r="G31">
        <v>1</v>
      </c>
      <c r="H31">
        <v>1</v>
      </c>
      <c r="I31">
        <v>2</v>
      </c>
      <c r="J31" t="s">
        <v>22</v>
      </c>
      <c r="K31" t="s">
        <v>23</v>
      </c>
      <c r="L31">
        <v>2.37</v>
      </c>
      <c r="M31" t="s">
        <v>24</v>
      </c>
      <c r="N31" t="s">
        <v>25</v>
      </c>
      <c r="O31">
        <v>78048</v>
      </c>
      <c r="P31">
        <v>2</v>
      </c>
      <c r="Q31" t="s">
        <v>25</v>
      </c>
      <c r="R31" t="s">
        <v>26</v>
      </c>
    </row>
    <row r="32" spans="1:18" x14ac:dyDescent="0.3">
      <c r="A32" t="s">
        <v>101</v>
      </c>
      <c r="B32" s="2">
        <v>45920</v>
      </c>
      <c r="C32" t="s">
        <v>52</v>
      </c>
      <c r="D32" t="s">
        <v>87</v>
      </c>
      <c r="E32" t="s">
        <v>30</v>
      </c>
      <c r="F32">
        <v>30</v>
      </c>
      <c r="G32">
        <v>1</v>
      </c>
      <c r="H32">
        <v>0</v>
      </c>
      <c r="I32">
        <v>5</v>
      </c>
      <c r="J32" t="s">
        <v>22</v>
      </c>
      <c r="K32" t="s">
        <v>23</v>
      </c>
      <c r="L32">
        <v>2.73</v>
      </c>
      <c r="M32" t="s">
        <v>102</v>
      </c>
      <c r="N32" t="s">
        <v>25</v>
      </c>
      <c r="O32">
        <v>70806</v>
      </c>
      <c r="P32">
        <v>2</v>
      </c>
      <c r="Q32" t="s">
        <v>25</v>
      </c>
      <c r="R32" t="s">
        <v>26</v>
      </c>
    </row>
    <row r="33" spans="1:18" x14ac:dyDescent="0.3">
      <c r="A33" t="s">
        <v>103</v>
      </c>
      <c r="B33" s="2">
        <v>45412</v>
      </c>
      <c r="C33" t="s">
        <v>104</v>
      </c>
      <c r="D33" t="s">
        <v>70</v>
      </c>
      <c r="E33" t="s">
        <v>21</v>
      </c>
      <c r="F33">
        <v>25</v>
      </c>
      <c r="G33">
        <v>6</v>
      </c>
      <c r="H33">
        <v>4</v>
      </c>
      <c r="I33">
        <v>8</v>
      </c>
      <c r="J33" t="s">
        <v>22</v>
      </c>
      <c r="K33" t="s">
        <v>23</v>
      </c>
      <c r="L33">
        <v>3.36</v>
      </c>
      <c r="M33" t="s">
        <v>80</v>
      </c>
      <c r="N33" t="s">
        <v>25</v>
      </c>
      <c r="O33">
        <v>35217</v>
      </c>
      <c r="P33">
        <v>2</v>
      </c>
      <c r="Q33" t="s">
        <v>26</v>
      </c>
      <c r="R33" t="s">
        <v>26</v>
      </c>
    </row>
    <row r="34" spans="1:18" x14ac:dyDescent="0.3">
      <c r="A34" t="s">
        <v>105</v>
      </c>
      <c r="B34" s="2">
        <v>45564</v>
      </c>
      <c r="C34" t="s">
        <v>28</v>
      </c>
      <c r="D34" t="s">
        <v>78</v>
      </c>
      <c r="E34" t="s">
        <v>37</v>
      </c>
      <c r="F34">
        <v>24</v>
      </c>
      <c r="G34">
        <v>3</v>
      </c>
      <c r="H34">
        <v>2</v>
      </c>
      <c r="I34">
        <v>6</v>
      </c>
      <c r="J34" t="s">
        <v>22</v>
      </c>
      <c r="K34" t="s">
        <v>23</v>
      </c>
      <c r="L34">
        <v>3.74</v>
      </c>
      <c r="M34" t="s">
        <v>24</v>
      </c>
      <c r="N34" t="s">
        <v>25</v>
      </c>
      <c r="O34">
        <v>44482</v>
      </c>
      <c r="P34">
        <v>3</v>
      </c>
      <c r="Q34" t="s">
        <v>25</v>
      </c>
      <c r="R34" t="s">
        <v>26</v>
      </c>
    </row>
    <row r="35" spans="1:18" x14ac:dyDescent="0.3">
      <c r="A35" t="s">
        <v>106</v>
      </c>
      <c r="B35" s="2">
        <v>45427</v>
      </c>
      <c r="C35" t="s">
        <v>59</v>
      </c>
      <c r="D35" t="s">
        <v>49</v>
      </c>
      <c r="E35" t="s">
        <v>30</v>
      </c>
      <c r="F35">
        <v>31</v>
      </c>
      <c r="G35">
        <v>7</v>
      </c>
      <c r="H35">
        <v>0</v>
      </c>
      <c r="I35">
        <v>6</v>
      </c>
      <c r="J35" t="s">
        <v>22</v>
      </c>
      <c r="K35" t="s">
        <v>23</v>
      </c>
      <c r="L35">
        <v>4.1399999999999997</v>
      </c>
      <c r="M35" t="s">
        <v>24</v>
      </c>
      <c r="N35" t="s">
        <v>25</v>
      </c>
      <c r="O35">
        <v>58865</v>
      </c>
      <c r="P35">
        <v>1</v>
      </c>
      <c r="Q35" t="s">
        <v>26</v>
      </c>
      <c r="R35" t="s">
        <v>26</v>
      </c>
    </row>
    <row r="36" spans="1:18" x14ac:dyDescent="0.3">
      <c r="A36" t="s">
        <v>107</v>
      </c>
      <c r="B36" s="2">
        <v>46001</v>
      </c>
      <c r="C36" t="s">
        <v>35</v>
      </c>
      <c r="D36" t="s">
        <v>45</v>
      </c>
      <c r="E36" t="s">
        <v>54</v>
      </c>
      <c r="F36">
        <v>24</v>
      </c>
      <c r="G36">
        <v>6</v>
      </c>
      <c r="H36">
        <v>3</v>
      </c>
      <c r="J36" t="s">
        <v>22</v>
      </c>
      <c r="K36" t="s">
        <v>23</v>
      </c>
      <c r="L36">
        <v>3.06</v>
      </c>
      <c r="N36" t="s">
        <v>25</v>
      </c>
      <c r="O36">
        <v>73528</v>
      </c>
      <c r="P36">
        <v>2</v>
      </c>
      <c r="Q36" t="s">
        <v>26</v>
      </c>
      <c r="R36" t="s">
        <v>26</v>
      </c>
    </row>
    <row r="37" spans="1:18" x14ac:dyDescent="0.3">
      <c r="A37" t="s">
        <v>108</v>
      </c>
      <c r="B37" s="2">
        <v>45334</v>
      </c>
      <c r="C37" t="s">
        <v>28</v>
      </c>
      <c r="D37" t="s">
        <v>109</v>
      </c>
      <c r="E37" t="s">
        <v>75</v>
      </c>
      <c r="F37">
        <v>33</v>
      </c>
      <c r="G37">
        <v>7</v>
      </c>
      <c r="H37">
        <v>2</v>
      </c>
      <c r="I37">
        <v>5</v>
      </c>
      <c r="J37" t="s">
        <v>41</v>
      </c>
      <c r="K37" t="s">
        <v>23</v>
      </c>
      <c r="L37">
        <v>3.9</v>
      </c>
      <c r="M37" t="s">
        <v>24</v>
      </c>
      <c r="N37" t="s">
        <v>25</v>
      </c>
      <c r="O37">
        <v>58383</v>
      </c>
      <c r="P37">
        <v>6</v>
      </c>
      <c r="Q37" t="s">
        <v>25</v>
      </c>
      <c r="R37" t="s">
        <v>26</v>
      </c>
    </row>
    <row r="38" spans="1:18" x14ac:dyDescent="0.3">
      <c r="A38" t="s">
        <v>110</v>
      </c>
      <c r="B38" s="2">
        <v>45452</v>
      </c>
      <c r="C38" t="s">
        <v>52</v>
      </c>
      <c r="D38" t="s">
        <v>111</v>
      </c>
      <c r="E38" t="s">
        <v>54</v>
      </c>
      <c r="F38">
        <v>32</v>
      </c>
      <c r="G38">
        <v>6</v>
      </c>
      <c r="H38">
        <v>0</v>
      </c>
      <c r="I38">
        <v>3</v>
      </c>
      <c r="J38" t="s">
        <v>22</v>
      </c>
      <c r="K38" t="s">
        <v>23</v>
      </c>
      <c r="L38">
        <v>2.5099999999999998</v>
      </c>
      <c r="M38" t="s">
        <v>99</v>
      </c>
      <c r="N38" t="s">
        <v>25</v>
      </c>
      <c r="O38">
        <v>77061</v>
      </c>
      <c r="P38">
        <v>1</v>
      </c>
      <c r="Q38" t="s">
        <v>25</v>
      </c>
      <c r="R38" t="s">
        <v>26</v>
      </c>
    </row>
    <row r="39" spans="1:18" x14ac:dyDescent="0.3">
      <c r="A39" t="s">
        <v>112</v>
      </c>
      <c r="B39" s="2">
        <v>45979</v>
      </c>
      <c r="C39" t="s">
        <v>113</v>
      </c>
      <c r="D39" t="s">
        <v>53</v>
      </c>
      <c r="E39" t="s">
        <v>30</v>
      </c>
      <c r="F39">
        <v>32</v>
      </c>
      <c r="G39">
        <v>4</v>
      </c>
      <c r="H39">
        <v>0</v>
      </c>
      <c r="I39">
        <v>5</v>
      </c>
      <c r="J39" t="s">
        <v>22</v>
      </c>
      <c r="K39" t="s">
        <v>23</v>
      </c>
      <c r="L39">
        <v>3.06</v>
      </c>
      <c r="M39" t="s">
        <v>94</v>
      </c>
      <c r="N39" t="s">
        <v>25</v>
      </c>
      <c r="O39">
        <v>43830</v>
      </c>
      <c r="P39">
        <v>1</v>
      </c>
      <c r="Q39" t="s">
        <v>25</v>
      </c>
      <c r="R39" t="s">
        <v>26</v>
      </c>
    </row>
    <row r="40" spans="1:18" x14ac:dyDescent="0.3">
      <c r="A40" t="s">
        <v>114</v>
      </c>
      <c r="B40" s="2">
        <v>45765</v>
      </c>
      <c r="C40" t="s">
        <v>52</v>
      </c>
      <c r="D40" t="s">
        <v>87</v>
      </c>
      <c r="E40" t="s">
        <v>75</v>
      </c>
      <c r="F40">
        <v>26</v>
      </c>
      <c r="G40">
        <v>2</v>
      </c>
      <c r="H40">
        <v>2</v>
      </c>
      <c r="I40">
        <v>6</v>
      </c>
      <c r="J40" t="s">
        <v>115</v>
      </c>
      <c r="K40" t="s">
        <v>23</v>
      </c>
      <c r="L40">
        <v>3.22</v>
      </c>
      <c r="M40" t="s">
        <v>102</v>
      </c>
      <c r="N40" t="s">
        <v>25</v>
      </c>
      <c r="O40">
        <v>33856</v>
      </c>
      <c r="P40">
        <v>2</v>
      </c>
      <c r="Q40" t="s">
        <v>25</v>
      </c>
      <c r="R40" t="s">
        <v>26</v>
      </c>
    </row>
    <row r="41" spans="1:18" x14ac:dyDescent="0.3">
      <c r="A41" t="s">
        <v>116</v>
      </c>
      <c r="B41" s="2">
        <v>45579</v>
      </c>
      <c r="C41" t="s">
        <v>35</v>
      </c>
      <c r="D41" t="s">
        <v>45</v>
      </c>
      <c r="E41" t="s">
        <v>75</v>
      </c>
      <c r="F41">
        <v>30</v>
      </c>
      <c r="G41">
        <v>2</v>
      </c>
      <c r="H41">
        <v>0</v>
      </c>
      <c r="I41">
        <v>3</v>
      </c>
      <c r="J41" t="s">
        <v>22</v>
      </c>
      <c r="K41" t="s">
        <v>23</v>
      </c>
      <c r="L41">
        <v>3.18</v>
      </c>
      <c r="M41" t="s">
        <v>24</v>
      </c>
      <c r="N41" t="s">
        <v>25</v>
      </c>
      <c r="O41">
        <v>66455</v>
      </c>
      <c r="P41">
        <v>1</v>
      </c>
      <c r="Q41" t="s">
        <v>26</v>
      </c>
      <c r="R41" t="s">
        <v>26</v>
      </c>
    </row>
    <row r="42" spans="1:18" x14ac:dyDescent="0.3">
      <c r="A42" t="s">
        <v>117</v>
      </c>
      <c r="B42" s="2">
        <v>45888</v>
      </c>
      <c r="C42" t="s">
        <v>28</v>
      </c>
      <c r="D42" t="s">
        <v>29</v>
      </c>
      <c r="E42" t="s">
        <v>75</v>
      </c>
      <c r="F42">
        <v>30</v>
      </c>
      <c r="G42">
        <v>6</v>
      </c>
      <c r="H42">
        <v>4</v>
      </c>
      <c r="I42">
        <v>6</v>
      </c>
      <c r="J42" t="s">
        <v>22</v>
      </c>
      <c r="K42" t="s">
        <v>23</v>
      </c>
      <c r="L42">
        <v>3.7</v>
      </c>
      <c r="M42" t="s">
        <v>102</v>
      </c>
      <c r="N42" t="s">
        <v>25</v>
      </c>
      <c r="O42">
        <v>91345</v>
      </c>
      <c r="P42">
        <v>1</v>
      </c>
      <c r="Q42" t="s">
        <v>25</v>
      </c>
      <c r="R42" t="s">
        <v>26</v>
      </c>
    </row>
    <row r="43" spans="1:18" x14ac:dyDescent="0.3">
      <c r="A43" t="s">
        <v>118</v>
      </c>
      <c r="B43" s="2">
        <v>45412</v>
      </c>
      <c r="C43" t="s">
        <v>85</v>
      </c>
      <c r="D43" t="s">
        <v>20</v>
      </c>
      <c r="E43" t="s">
        <v>33</v>
      </c>
      <c r="F43">
        <v>24</v>
      </c>
      <c r="G43">
        <v>5</v>
      </c>
      <c r="H43">
        <v>3</v>
      </c>
      <c r="I43">
        <v>6</v>
      </c>
      <c r="J43" t="s">
        <v>22</v>
      </c>
      <c r="K43" t="s">
        <v>23</v>
      </c>
      <c r="L43">
        <v>3.38</v>
      </c>
      <c r="M43" t="s">
        <v>24</v>
      </c>
      <c r="N43" t="s">
        <v>25</v>
      </c>
      <c r="O43">
        <v>77876</v>
      </c>
      <c r="P43">
        <v>7</v>
      </c>
      <c r="Q43" t="s">
        <v>25</v>
      </c>
      <c r="R43" t="s">
        <v>26</v>
      </c>
    </row>
    <row r="44" spans="1:18" x14ac:dyDescent="0.3">
      <c r="A44" t="s">
        <v>119</v>
      </c>
      <c r="B44" s="2">
        <v>45980</v>
      </c>
      <c r="C44" t="s">
        <v>28</v>
      </c>
      <c r="D44" t="s">
        <v>78</v>
      </c>
      <c r="E44" t="s">
        <v>54</v>
      </c>
      <c r="F44">
        <v>31</v>
      </c>
      <c r="G44">
        <v>3</v>
      </c>
      <c r="H44">
        <v>0</v>
      </c>
      <c r="I44">
        <v>7</v>
      </c>
      <c r="J44" t="s">
        <v>38</v>
      </c>
      <c r="K44" t="s">
        <v>23</v>
      </c>
      <c r="L44">
        <v>3.62</v>
      </c>
      <c r="M44" t="s">
        <v>80</v>
      </c>
      <c r="N44" t="s">
        <v>25</v>
      </c>
      <c r="O44">
        <v>161284</v>
      </c>
      <c r="P44">
        <v>3</v>
      </c>
      <c r="Q44" t="s">
        <v>25</v>
      </c>
      <c r="R44" t="s">
        <v>26</v>
      </c>
    </row>
    <row r="45" spans="1:18" x14ac:dyDescent="0.3">
      <c r="A45" t="s">
        <v>120</v>
      </c>
      <c r="B45" s="2">
        <v>45813</v>
      </c>
      <c r="C45" t="s">
        <v>35</v>
      </c>
      <c r="D45" t="s">
        <v>121</v>
      </c>
      <c r="E45" t="s">
        <v>75</v>
      </c>
      <c r="F45">
        <v>32</v>
      </c>
      <c r="G45">
        <v>1</v>
      </c>
      <c r="H45">
        <v>1</v>
      </c>
      <c r="I45">
        <v>3</v>
      </c>
      <c r="J45" t="s">
        <v>22</v>
      </c>
      <c r="K45" t="s">
        <v>23</v>
      </c>
      <c r="L45">
        <v>2.97</v>
      </c>
      <c r="M45" t="s">
        <v>24</v>
      </c>
      <c r="N45" t="s">
        <v>25</v>
      </c>
      <c r="O45">
        <v>52865</v>
      </c>
      <c r="P45">
        <v>2</v>
      </c>
      <c r="Q45" t="s">
        <v>25</v>
      </c>
      <c r="R45" t="s">
        <v>26</v>
      </c>
    </row>
    <row r="46" spans="1:18" x14ac:dyDescent="0.3">
      <c r="A46" t="s">
        <v>122</v>
      </c>
      <c r="B46" s="2">
        <v>45472</v>
      </c>
      <c r="C46" t="s">
        <v>59</v>
      </c>
      <c r="D46" t="s">
        <v>49</v>
      </c>
      <c r="E46" t="s">
        <v>37</v>
      </c>
      <c r="F46">
        <v>40</v>
      </c>
      <c r="G46">
        <v>4</v>
      </c>
      <c r="H46">
        <v>2</v>
      </c>
      <c r="I46">
        <v>1</v>
      </c>
      <c r="J46" t="s">
        <v>22</v>
      </c>
      <c r="K46" t="s">
        <v>23</v>
      </c>
      <c r="M46" t="s">
        <v>50</v>
      </c>
      <c r="N46" t="s">
        <v>25</v>
      </c>
      <c r="O46">
        <v>24682</v>
      </c>
      <c r="P46">
        <v>1</v>
      </c>
      <c r="Q46" t="s">
        <v>25</v>
      </c>
      <c r="R46" t="s">
        <v>26</v>
      </c>
    </row>
    <row r="47" spans="1:18" x14ac:dyDescent="0.3">
      <c r="A47" t="s">
        <v>123</v>
      </c>
      <c r="B47" s="2">
        <v>45915</v>
      </c>
      <c r="C47" t="s">
        <v>28</v>
      </c>
      <c r="D47" t="s">
        <v>124</v>
      </c>
      <c r="E47" t="s">
        <v>30</v>
      </c>
      <c r="F47">
        <v>34</v>
      </c>
      <c r="G47">
        <v>4</v>
      </c>
      <c r="H47">
        <v>4</v>
      </c>
      <c r="I47">
        <v>5</v>
      </c>
      <c r="J47" t="s">
        <v>38</v>
      </c>
      <c r="K47" t="s">
        <v>23</v>
      </c>
      <c r="L47">
        <v>2.5099999999999998</v>
      </c>
      <c r="M47" t="s">
        <v>24</v>
      </c>
      <c r="N47" t="s">
        <v>25</v>
      </c>
      <c r="O47">
        <v>127117</v>
      </c>
      <c r="P47">
        <v>5</v>
      </c>
      <c r="Q47" t="s">
        <v>25</v>
      </c>
      <c r="R47" t="s">
        <v>26</v>
      </c>
    </row>
    <row r="48" spans="1:18" x14ac:dyDescent="0.3">
      <c r="A48" t="s">
        <v>125</v>
      </c>
      <c r="B48" s="2">
        <v>45968</v>
      </c>
      <c r="C48" t="s">
        <v>35</v>
      </c>
      <c r="D48" t="s">
        <v>121</v>
      </c>
      <c r="E48" t="s">
        <v>21</v>
      </c>
      <c r="F48">
        <v>25</v>
      </c>
      <c r="G48">
        <v>4</v>
      </c>
      <c r="H48">
        <v>3</v>
      </c>
      <c r="I48">
        <v>5</v>
      </c>
      <c r="J48" t="s">
        <v>22</v>
      </c>
      <c r="K48" t="s">
        <v>23</v>
      </c>
      <c r="M48" t="s">
        <v>88</v>
      </c>
      <c r="N48" t="s">
        <v>25</v>
      </c>
      <c r="O48">
        <v>48709</v>
      </c>
      <c r="P48">
        <v>5</v>
      </c>
      <c r="Q48" t="s">
        <v>25</v>
      </c>
      <c r="R48" t="s">
        <v>26</v>
      </c>
    </row>
    <row r="49" spans="1:18" x14ac:dyDescent="0.3">
      <c r="A49" t="s">
        <v>126</v>
      </c>
      <c r="B49" s="2">
        <v>45544</v>
      </c>
      <c r="C49" t="s">
        <v>35</v>
      </c>
      <c r="D49" t="s">
        <v>36</v>
      </c>
      <c r="E49" t="s">
        <v>33</v>
      </c>
      <c r="F49">
        <v>32</v>
      </c>
      <c r="G49">
        <v>1</v>
      </c>
      <c r="H49">
        <v>0</v>
      </c>
      <c r="I49">
        <v>0</v>
      </c>
      <c r="J49" t="s">
        <v>22</v>
      </c>
      <c r="K49" t="s">
        <v>23</v>
      </c>
      <c r="L49">
        <v>3.2</v>
      </c>
      <c r="M49" t="s">
        <v>24</v>
      </c>
      <c r="N49" t="s">
        <v>25</v>
      </c>
      <c r="O49">
        <v>48455</v>
      </c>
      <c r="P49">
        <v>3</v>
      </c>
      <c r="Q49" t="s">
        <v>26</v>
      </c>
      <c r="R49" t="s">
        <v>25</v>
      </c>
    </row>
    <row r="50" spans="1:18" x14ac:dyDescent="0.3">
      <c r="A50" t="s">
        <v>127</v>
      </c>
      <c r="B50" s="2">
        <v>45703</v>
      </c>
      <c r="C50" t="s">
        <v>28</v>
      </c>
      <c r="D50" t="s">
        <v>70</v>
      </c>
      <c r="E50" t="s">
        <v>54</v>
      </c>
      <c r="F50">
        <v>25</v>
      </c>
      <c r="G50">
        <v>4</v>
      </c>
      <c r="H50">
        <v>3</v>
      </c>
      <c r="I50">
        <v>4</v>
      </c>
      <c r="J50" t="s">
        <v>38</v>
      </c>
      <c r="K50" t="s">
        <v>23</v>
      </c>
      <c r="L50">
        <v>3.38</v>
      </c>
      <c r="M50" t="s">
        <v>94</v>
      </c>
      <c r="N50" t="s">
        <v>25</v>
      </c>
      <c r="O50">
        <v>166643</v>
      </c>
      <c r="P50">
        <v>2</v>
      </c>
      <c r="Q50" t="s">
        <v>25</v>
      </c>
      <c r="R50" t="s">
        <v>26</v>
      </c>
    </row>
    <row r="51" spans="1:18" x14ac:dyDescent="0.3">
      <c r="A51" t="s">
        <v>128</v>
      </c>
      <c r="B51" s="2">
        <v>45864</v>
      </c>
      <c r="C51" t="s">
        <v>52</v>
      </c>
      <c r="D51" t="s">
        <v>129</v>
      </c>
      <c r="E51" t="s">
        <v>54</v>
      </c>
      <c r="F51">
        <v>27</v>
      </c>
      <c r="G51">
        <v>7</v>
      </c>
      <c r="H51">
        <v>0</v>
      </c>
      <c r="I51">
        <v>4</v>
      </c>
      <c r="J51" t="s">
        <v>38</v>
      </c>
      <c r="K51" t="s">
        <v>23</v>
      </c>
      <c r="L51">
        <v>2.74</v>
      </c>
      <c r="M51" t="s">
        <v>88</v>
      </c>
      <c r="N51" t="s">
        <v>25</v>
      </c>
      <c r="O51">
        <v>189136</v>
      </c>
      <c r="P51">
        <v>4</v>
      </c>
      <c r="Q51" t="s">
        <v>25</v>
      </c>
      <c r="R51" t="s">
        <v>26</v>
      </c>
    </row>
    <row r="52" spans="1:18" x14ac:dyDescent="0.3">
      <c r="A52" t="s">
        <v>130</v>
      </c>
      <c r="B52" s="2">
        <v>45747</v>
      </c>
      <c r="C52" t="s">
        <v>19</v>
      </c>
      <c r="D52" t="s">
        <v>96</v>
      </c>
      <c r="E52" t="s">
        <v>37</v>
      </c>
      <c r="F52">
        <v>22</v>
      </c>
      <c r="G52">
        <v>2</v>
      </c>
      <c r="H52">
        <v>1</v>
      </c>
      <c r="I52">
        <v>6</v>
      </c>
      <c r="J52" t="s">
        <v>22</v>
      </c>
      <c r="K52" t="s">
        <v>55</v>
      </c>
      <c r="L52">
        <v>4.2699999999999996</v>
      </c>
      <c r="M52" t="s">
        <v>24</v>
      </c>
      <c r="N52" t="s">
        <v>25</v>
      </c>
      <c r="O52">
        <v>90811</v>
      </c>
      <c r="P52">
        <v>1</v>
      </c>
      <c r="Q52" t="s">
        <v>25</v>
      </c>
      <c r="R52" t="s">
        <v>26</v>
      </c>
    </row>
    <row r="53" spans="1:18" x14ac:dyDescent="0.3">
      <c r="A53" t="s">
        <v>131</v>
      </c>
      <c r="B53" s="2">
        <v>45547</v>
      </c>
      <c r="C53" t="s">
        <v>28</v>
      </c>
      <c r="D53" t="s">
        <v>29</v>
      </c>
      <c r="F53">
        <v>26</v>
      </c>
      <c r="G53">
        <v>7</v>
      </c>
      <c r="H53">
        <v>4</v>
      </c>
      <c r="I53">
        <v>7</v>
      </c>
      <c r="J53" t="s">
        <v>22</v>
      </c>
      <c r="K53" t="s">
        <v>23</v>
      </c>
      <c r="L53">
        <v>2.71</v>
      </c>
      <c r="M53" t="s">
        <v>102</v>
      </c>
      <c r="N53" t="s">
        <v>25</v>
      </c>
      <c r="P53">
        <v>3</v>
      </c>
      <c r="Q53" t="s">
        <v>25</v>
      </c>
      <c r="R53" t="s">
        <v>26</v>
      </c>
    </row>
    <row r="54" spans="1:18" x14ac:dyDescent="0.3">
      <c r="A54" t="s">
        <v>132</v>
      </c>
      <c r="B54" s="2">
        <v>45621</v>
      </c>
      <c r="C54" t="s">
        <v>35</v>
      </c>
      <c r="D54" t="s">
        <v>121</v>
      </c>
      <c r="E54" t="s">
        <v>37</v>
      </c>
      <c r="F54">
        <v>24</v>
      </c>
      <c r="G54">
        <v>6</v>
      </c>
      <c r="H54">
        <v>1</v>
      </c>
      <c r="I54">
        <v>4</v>
      </c>
      <c r="J54" t="s">
        <v>22</v>
      </c>
      <c r="K54" t="s">
        <v>23</v>
      </c>
      <c r="L54">
        <v>1.32</v>
      </c>
      <c r="M54" t="s">
        <v>24</v>
      </c>
      <c r="N54" t="s">
        <v>25</v>
      </c>
      <c r="O54">
        <v>39390</v>
      </c>
      <c r="P54">
        <v>1</v>
      </c>
      <c r="Q54" t="s">
        <v>25</v>
      </c>
      <c r="R54" t="s">
        <v>26</v>
      </c>
    </row>
    <row r="55" spans="1:18" x14ac:dyDescent="0.3">
      <c r="A55" t="s">
        <v>133</v>
      </c>
      <c r="B55" s="2">
        <v>45632</v>
      </c>
      <c r="C55" t="s">
        <v>19</v>
      </c>
      <c r="D55" t="s">
        <v>72</v>
      </c>
      <c r="E55" t="s">
        <v>37</v>
      </c>
      <c r="F55">
        <v>22</v>
      </c>
      <c r="G55">
        <v>2</v>
      </c>
      <c r="H55">
        <v>0</v>
      </c>
      <c r="I55">
        <v>8</v>
      </c>
      <c r="J55" t="s">
        <v>22</v>
      </c>
      <c r="K55" t="s">
        <v>23</v>
      </c>
      <c r="L55">
        <v>2.31</v>
      </c>
      <c r="M55" t="s">
        <v>24</v>
      </c>
      <c r="N55" t="s">
        <v>25</v>
      </c>
      <c r="O55">
        <v>53998</v>
      </c>
      <c r="P55">
        <v>2</v>
      </c>
      <c r="Q55" t="s">
        <v>25</v>
      </c>
      <c r="R55" t="s">
        <v>26</v>
      </c>
    </row>
    <row r="56" spans="1:18" x14ac:dyDescent="0.3">
      <c r="A56" t="s">
        <v>134</v>
      </c>
      <c r="B56" s="2">
        <v>45314</v>
      </c>
      <c r="C56" t="s">
        <v>59</v>
      </c>
      <c r="D56" t="s">
        <v>60</v>
      </c>
      <c r="E56" t="s">
        <v>37</v>
      </c>
      <c r="F56">
        <v>36</v>
      </c>
      <c r="G56">
        <v>1</v>
      </c>
      <c r="H56">
        <v>0</v>
      </c>
      <c r="I56">
        <v>2</v>
      </c>
      <c r="J56" t="s">
        <v>38</v>
      </c>
      <c r="K56" t="s">
        <v>23</v>
      </c>
      <c r="L56">
        <v>3.74</v>
      </c>
      <c r="M56" t="s">
        <v>94</v>
      </c>
      <c r="N56" t="s">
        <v>25</v>
      </c>
      <c r="O56">
        <v>145255</v>
      </c>
      <c r="P56">
        <v>2</v>
      </c>
      <c r="Q56" t="s">
        <v>25</v>
      </c>
      <c r="R56" t="s">
        <v>26</v>
      </c>
    </row>
    <row r="57" spans="1:18" x14ac:dyDescent="0.3">
      <c r="A57" t="s">
        <v>135</v>
      </c>
      <c r="B57" s="2">
        <v>45845</v>
      </c>
      <c r="C57" t="s">
        <v>59</v>
      </c>
      <c r="D57" t="s">
        <v>60</v>
      </c>
      <c r="E57" t="s">
        <v>30</v>
      </c>
      <c r="F57">
        <v>31</v>
      </c>
      <c r="G57">
        <v>1</v>
      </c>
      <c r="H57">
        <v>1</v>
      </c>
      <c r="I57">
        <v>5</v>
      </c>
      <c r="J57" t="s">
        <v>31</v>
      </c>
      <c r="K57" t="s">
        <v>23</v>
      </c>
      <c r="L57">
        <v>2.77</v>
      </c>
      <c r="M57" t="s">
        <v>102</v>
      </c>
      <c r="N57" t="s">
        <v>25</v>
      </c>
      <c r="O57">
        <v>66745</v>
      </c>
      <c r="P57">
        <v>1</v>
      </c>
      <c r="Q57" t="s">
        <v>25</v>
      </c>
      <c r="R57" t="s">
        <v>26</v>
      </c>
    </row>
    <row r="58" spans="1:18" x14ac:dyDescent="0.3">
      <c r="A58" t="s">
        <v>136</v>
      </c>
      <c r="B58" s="2">
        <v>45708</v>
      </c>
      <c r="C58" t="s">
        <v>104</v>
      </c>
      <c r="D58" t="s">
        <v>78</v>
      </c>
      <c r="E58" t="s">
        <v>30</v>
      </c>
      <c r="F58">
        <v>29</v>
      </c>
      <c r="G58">
        <v>4</v>
      </c>
      <c r="H58">
        <v>1</v>
      </c>
      <c r="I58">
        <v>6</v>
      </c>
      <c r="J58" t="s">
        <v>22</v>
      </c>
      <c r="K58" t="s">
        <v>23</v>
      </c>
      <c r="L58">
        <v>3.97</v>
      </c>
      <c r="M58" t="s">
        <v>24</v>
      </c>
      <c r="N58" t="s">
        <v>25</v>
      </c>
      <c r="O58">
        <v>34054</v>
      </c>
      <c r="P58">
        <v>5</v>
      </c>
      <c r="Q58" t="s">
        <v>25</v>
      </c>
      <c r="R58" t="s">
        <v>26</v>
      </c>
    </row>
    <row r="59" spans="1:18" x14ac:dyDescent="0.3">
      <c r="A59" t="s">
        <v>137</v>
      </c>
      <c r="B59" s="2">
        <v>45379</v>
      </c>
      <c r="C59" t="s">
        <v>52</v>
      </c>
      <c r="D59" t="s">
        <v>138</v>
      </c>
      <c r="E59" t="s">
        <v>30</v>
      </c>
      <c r="F59">
        <v>47</v>
      </c>
      <c r="G59">
        <v>2</v>
      </c>
      <c r="H59">
        <v>2</v>
      </c>
      <c r="I59">
        <v>4</v>
      </c>
      <c r="J59" t="s">
        <v>22</v>
      </c>
      <c r="K59" t="s">
        <v>23</v>
      </c>
      <c r="L59">
        <v>3.42</v>
      </c>
      <c r="M59" t="s">
        <v>24</v>
      </c>
      <c r="N59" t="s">
        <v>25</v>
      </c>
      <c r="O59">
        <v>72024</v>
      </c>
      <c r="P59">
        <v>1</v>
      </c>
      <c r="Q59" t="s">
        <v>25</v>
      </c>
      <c r="R59" t="s">
        <v>26</v>
      </c>
    </row>
    <row r="60" spans="1:18" x14ac:dyDescent="0.3">
      <c r="A60" t="s">
        <v>139</v>
      </c>
      <c r="B60" s="2">
        <v>45639</v>
      </c>
      <c r="C60" t="s">
        <v>59</v>
      </c>
      <c r="D60" t="s">
        <v>74</v>
      </c>
      <c r="E60" t="s">
        <v>33</v>
      </c>
      <c r="F60">
        <v>27</v>
      </c>
      <c r="G60">
        <v>7</v>
      </c>
      <c r="H60">
        <v>3</v>
      </c>
      <c r="I60">
        <v>4</v>
      </c>
      <c r="J60" t="s">
        <v>22</v>
      </c>
      <c r="K60" t="s">
        <v>23</v>
      </c>
      <c r="L60">
        <v>2.78</v>
      </c>
      <c r="M60" t="s">
        <v>24</v>
      </c>
      <c r="N60" t="s">
        <v>25</v>
      </c>
      <c r="O60">
        <v>86240</v>
      </c>
      <c r="P60">
        <v>2</v>
      </c>
      <c r="Q60" t="s">
        <v>25</v>
      </c>
      <c r="R60" t="s">
        <v>26</v>
      </c>
    </row>
    <row r="61" spans="1:18" x14ac:dyDescent="0.3">
      <c r="A61" t="s">
        <v>140</v>
      </c>
      <c r="B61" s="2">
        <v>45523</v>
      </c>
      <c r="C61" t="s">
        <v>35</v>
      </c>
      <c r="D61" t="s">
        <v>121</v>
      </c>
      <c r="E61" t="s">
        <v>30</v>
      </c>
      <c r="F61">
        <v>25</v>
      </c>
      <c r="G61">
        <v>3</v>
      </c>
      <c r="H61">
        <v>0</v>
      </c>
      <c r="I61">
        <v>6</v>
      </c>
      <c r="J61" t="s">
        <v>22</v>
      </c>
      <c r="K61" t="s">
        <v>23</v>
      </c>
      <c r="L61">
        <v>3.27</v>
      </c>
      <c r="M61" t="s">
        <v>24</v>
      </c>
      <c r="N61" t="s">
        <v>25</v>
      </c>
      <c r="O61">
        <v>85321</v>
      </c>
      <c r="P61">
        <v>2</v>
      </c>
      <c r="Q61" t="s">
        <v>25</v>
      </c>
      <c r="R61" t="s">
        <v>26</v>
      </c>
    </row>
    <row r="62" spans="1:18" x14ac:dyDescent="0.3">
      <c r="A62" t="s">
        <v>141</v>
      </c>
      <c r="B62" s="2">
        <v>45423</v>
      </c>
      <c r="C62" t="s">
        <v>19</v>
      </c>
      <c r="D62" t="s">
        <v>142</v>
      </c>
      <c r="E62" t="s">
        <v>33</v>
      </c>
      <c r="F62">
        <v>24</v>
      </c>
      <c r="G62">
        <v>7</v>
      </c>
      <c r="H62">
        <v>0</v>
      </c>
      <c r="I62">
        <v>3</v>
      </c>
      <c r="J62" t="s">
        <v>38</v>
      </c>
      <c r="K62" t="s">
        <v>23</v>
      </c>
      <c r="L62">
        <v>3.51</v>
      </c>
      <c r="M62" t="s">
        <v>24</v>
      </c>
      <c r="N62" t="s">
        <v>25</v>
      </c>
      <c r="O62">
        <v>160259</v>
      </c>
      <c r="P62">
        <v>3</v>
      </c>
      <c r="Q62" t="s">
        <v>26</v>
      </c>
      <c r="R62" t="s">
        <v>26</v>
      </c>
    </row>
    <row r="63" spans="1:18" x14ac:dyDescent="0.3">
      <c r="A63" t="s">
        <v>143</v>
      </c>
      <c r="B63" s="2">
        <v>45411</v>
      </c>
      <c r="C63" t="s">
        <v>19</v>
      </c>
      <c r="D63" t="s">
        <v>72</v>
      </c>
      <c r="E63" t="s">
        <v>54</v>
      </c>
      <c r="F63">
        <v>29</v>
      </c>
      <c r="G63">
        <v>4</v>
      </c>
      <c r="H63">
        <v>2</v>
      </c>
      <c r="I63">
        <v>7</v>
      </c>
      <c r="J63" t="s">
        <v>38</v>
      </c>
      <c r="K63" t="s">
        <v>23</v>
      </c>
      <c r="L63">
        <v>2.77</v>
      </c>
      <c r="M63" t="s">
        <v>144</v>
      </c>
      <c r="N63" t="s">
        <v>25</v>
      </c>
      <c r="O63">
        <v>158677</v>
      </c>
      <c r="P63">
        <v>3</v>
      </c>
      <c r="Q63" t="s">
        <v>25</v>
      </c>
      <c r="R63" t="s">
        <v>26</v>
      </c>
    </row>
    <row r="64" spans="1:18" x14ac:dyDescent="0.3">
      <c r="A64" t="s">
        <v>145</v>
      </c>
      <c r="B64" s="2">
        <v>45497</v>
      </c>
      <c r="C64" t="s">
        <v>35</v>
      </c>
      <c r="D64" t="s">
        <v>40</v>
      </c>
      <c r="E64" t="s">
        <v>21</v>
      </c>
      <c r="F64">
        <v>27</v>
      </c>
      <c r="G64">
        <v>5</v>
      </c>
      <c r="H64">
        <v>0</v>
      </c>
      <c r="I64">
        <v>7</v>
      </c>
      <c r="J64" t="s">
        <v>38</v>
      </c>
      <c r="K64" t="s">
        <v>23</v>
      </c>
      <c r="L64">
        <v>3.55</v>
      </c>
      <c r="M64" t="s">
        <v>102</v>
      </c>
      <c r="N64" t="s">
        <v>25</v>
      </c>
      <c r="O64">
        <v>165337</v>
      </c>
      <c r="P64">
        <v>5</v>
      </c>
      <c r="Q64" t="s">
        <v>25</v>
      </c>
      <c r="R64" t="s">
        <v>26</v>
      </c>
    </row>
    <row r="65" spans="1:18" x14ac:dyDescent="0.3">
      <c r="A65" t="s">
        <v>146</v>
      </c>
      <c r="B65" s="2">
        <v>45336</v>
      </c>
      <c r="C65" t="s">
        <v>28</v>
      </c>
      <c r="D65" t="s">
        <v>78</v>
      </c>
      <c r="E65" t="s">
        <v>75</v>
      </c>
      <c r="F65">
        <v>29</v>
      </c>
      <c r="G65">
        <v>1</v>
      </c>
      <c r="H65">
        <v>1</v>
      </c>
      <c r="I65">
        <v>6</v>
      </c>
      <c r="J65" t="s">
        <v>38</v>
      </c>
      <c r="K65" t="s">
        <v>23</v>
      </c>
      <c r="L65">
        <v>2.93</v>
      </c>
      <c r="M65" t="s">
        <v>24</v>
      </c>
      <c r="N65" t="s">
        <v>25</v>
      </c>
      <c r="O65">
        <v>153104</v>
      </c>
      <c r="P65">
        <v>3</v>
      </c>
      <c r="Q65" t="s">
        <v>25</v>
      </c>
      <c r="R65" t="s">
        <v>26</v>
      </c>
    </row>
    <row r="66" spans="1:18" x14ac:dyDescent="0.3">
      <c r="A66" t="s">
        <v>147</v>
      </c>
      <c r="B66" s="2">
        <v>45795</v>
      </c>
      <c r="C66" t="s">
        <v>28</v>
      </c>
      <c r="D66" t="s">
        <v>29</v>
      </c>
      <c r="E66" t="s">
        <v>21</v>
      </c>
      <c r="F66">
        <v>29</v>
      </c>
      <c r="G66">
        <v>6</v>
      </c>
      <c r="H66">
        <v>2</v>
      </c>
      <c r="I66">
        <v>6</v>
      </c>
      <c r="J66" t="s">
        <v>22</v>
      </c>
      <c r="K66" t="s">
        <v>23</v>
      </c>
      <c r="L66">
        <v>2.65</v>
      </c>
      <c r="M66" t="s">
        <v>24</v>
      </c>
      <c r="N66" t="s">
        <v>25</v>
      </c>
      <c r="O66">
        <v>117309</v>
      </c>
      <c r="P66">
        <v>1</v>
      </c>
      <c r="Q66" t="s">
        <v>25</v>
      </c>
      <c r="R66" t="s">
        <v>26</v>
      </c>
    </row>
    <row r="67" spans="1:18" x14ac:dyDescent="0.3">
      <c r="A67" t="s">
        <v>148</v>
      </c>
      <c r="B67" s="2">
        <v>45570</v>
      </c>
      <c r="C67" t="s">
        <v>59</v>
      </c>
      <c r="D67" t="s">
        <v>49</v>
      </c>
      <c r="E67" t="s">
        <v>37</v>
      </c>
      <c r="F67">
        <v>22</v>
      </c>
      <c r="G67">
        <v>6</v>
      </c>
      <c r="H67">
        <v>3</v>
      </c>
      <c r="I67">
        <v>7</v>
      </c>
      <c r="J67" t="s">
        <v>41</v>
      </c>
      <c r="K67" t="s">
        <v>23</v>
      </c>
      <c r="L67">
        <v>3.54</v>
      </c>
      <c r="M67" t="s">
        <v>94</v>
      </c>
      <c r="N67" t="s">
        <v>25</v>
      </c>
      <c r="O67">
        <v>160602</v>
      </c>
      <c r="P67">
        <v>4</v>
      </c>
      <c r="Q67" t="s">
        <v>25</v>
      </c>
      <c r="R67" t="s">
        <v>26</v>
      </c>
    </row>
    <row r="68" spans="1:18" x14ac:dyDescent="0.3">
      <c r="A68" t="s">
        <v>149</v>
      </c>
      <c r="B68" s="2">
        <v>45382</v>
      </c>
      <c r="C68" t="s">
        <v>28</v>
      </c>
      <c r="D68" t="s">
        <v>29</v>
      </c>
      <c r="E68" t="s">
        <v>75</v>
      </c>
      <c r="F68">
        <v>28</v>
      </c>
      <c r="G68">
        <v>4</v>
      </c>
      <c r="H68">
        <v>3</v>
      </c>
      <c r="I68">
        <v>3</v>
      </c>
      <c r="J68" t="s">
        <v>38</v>
      </c>
      <c r="K68" t="s">
        <v>23</v>
      </c>
      <c r="L68">
        <v>3.14</v>
      </c>
      <c r="M68" t="s">
        <v>24</v>
      </c>
      <c r="N68" t="s">
        <v>25</v>
      </c>
      <c r="O68">
        <v>128070</v>
      </c>
      <c r="P68">
        <v>5</v>
      </c>
      <c r="Q68" t="s">
        <v>25</v>
      </c>
      <c r="R68" t="s">
        <v>26</v>
      </c>
    </row>
    <row r="69" spans="1:18" x14ac:dyDescent="0.3">
      <c r="A69" t="s">
        <v>150</v>
      </c>
      <c r="B69" s="2">
        <v>45626</v>
      </c>
      <c r="C69" t="s">
        <v>59</v>
      </c>
      <c r="D69" t="s">
        <v>74</v>
      </c>
      <c r="E69" t="s">
        <v>54</v>
      </c>
      <c r="F69">
        <v>28</v>
      </c>
      <c r="G69">
        <v>7</v>
      </c>
      <c r="H69">
        <v>3</v>
      </c>
      <c r="I69">
        <v>3</v>
      </c>
      <c r="J69" t="s">
        <v>22</v>
      </c>
      <c r="K69" t="s">
        <v>23</v>
      </c>
      <c r="L69">
        <v>2.92</v>
      </c>
      <c r="M69" t="s">
        <v>24</v>
      </c>
      <c r="N69" t="s">
        <v>25</v>
      </c>
      <c r="O69">
        <v>75323</v>
      </c>
      <c r="P69">
        <v>1</v>
      </c>
      <c r="Q69" t="s">
        <v>25</v>
      </c>
      <c r="R69" t="s">
        <v>26</v>
      </c>
    </row>
    <row r="70" spans="1:18" x14ac:dyDescent="0.3">
      <c r="A70" t="s">
        <v>151</v>
      </c>
      <c r="B70" s="2">
        <v>45489</v>
      </c>
      <c r="C70" t="s">
        <v>59</v>
      </c>
      <c r="D70" t="s">
        <v>74</v>
      </c>
      <c r="E70" t="s">
        <v>21</v>
      </c>
      <c r="F70">
        <v>24</v>
      </c>
      <c r="G70">
        <v>3</v>
      </c>
      <c r="H70">
        <v>2</v>
      </c>
      <c r="I70">
        <v>5</v>
      </c>
      <c r="J70" t="s">
        <v>22</v>
      </c>
      <c r="K70" t="s">
        <v>23</v>
      </c>
      <c r="L70">
        <v>3.23</v>
      </c>
      <c r="M70" t="s">
        <v>50</v>
      </c>
      <c r="N70" t="s">
        <v>25</v>
      </c>
      <c r="O70">
        <v>52326</v>
      </c>
      <c r="P70">
        <v>1</v>
      </c>
      <c r="Q70" t="s">
        <v>26</v>
      </c>
      <c r="R70" t="s">
        <v>26</v>
      </c>
    </row>
    <row r="71" spans="1:18" x14ac:dyDescent="0.3">
      <c r="A71" t="s">
        <v>152</v>
      </c>
      <c r="B71" s="2">
        <v>45477</v>
      </c>
      <c r="C71" t="s">
        <v>113</v>
      </c>
      <c r="D71" t="s">
        <v>64</v>
      </c>
      <c r="E71" t="s">
        <v>75</v>
      </c>
      <c r="F71">
        <v>30</v>
      </c>
      <c r="G71">
        <v>4</v>
      </c>
      <c r="H71">
        <v>4</v>
      </c>
      <c r="I71">
        <v>2</v>
      </c>
      <c r="J71" t="s">
        <v>38</v>
      </c>
      <c r="K71" t="s">
        <v>23</v>
      </c>
      <c r="L71">
        <v>2.33</v>
      </c>
      <c r="M71" t="s">
        <v>50</v>
      </c>
      <c r="N71" t="s">
        <v>25</v>
      </c>
      <c r="O71">
        <v>127038</v>
      </c>
      <c r="P71">
        <v>3</v>
      </c>
      <c r="Q71" t="s">
        <v>25</v>
      </c>
      <c r="R71" t="s">
        <v>26</v>
      </c>
    </row>
    <row r="72" spans="1:18" x14ac:dyDescent="0.3">
      <c r="A72" t="s">
        <v>153</v>
      </c>
      <c r="B72" s="2">
        <v>45729</v>
      </c>
      <c r="C72" t="s">
        <v>52</v>
      </c>
      <c r="D72" t="s">
        <v>64</v>
      </c>
      <c r="E72" t="s">
        <v>30</v>
      </c>
      <c r="F72">
        <v>30</v>
      </c>
      <c r="G72">
        <v>6</v>
      </c>
      <c r="H72">
        <v>1</v>
      </c>
      <c r="I72">
        <v>7</v>
      </c>
      <c r="J72" t="s">
        <v>22</v>
      </c>
      <c r="K72" t="s">
        <v>23</v>
      </c>
      <c r="L72">
        <v>3.57</v>
      </c>
      <c r="M72" t="s">
        <v>24</v>
      </c>
      <c r="N72" t="s">
        <v>25</v>
      </c>
      <c r="O72">
        <v>61001</v>
      </c>
      <c r="P72">
        <v>1</v>
      </c>
      <c r="Q72" t="s">
        <v>25</v>
      </c>
      <c r="R72" t="s">
        <v>26</v>
      </c>
    </row>
    <row r="73" spans="1:18" x14ac:dyDescent="0.3">
      <c r="A73" t="s">
        <v>154</v>
      </c>
      <c r="B73" s="2">
        <v>45416</v>
      </c>
      <c r="C73" t="s">
        <v>28</v>
      </c>
      <c r="D73" t="s">
        <v>124</v>
      </c>
      <c r="E73" t="s">
        <v>30</v>
      </c>
      <c r="F73">
        <v>23</v>
      </c>
      <c r="G73">
        <v>3</v>
      </c>
      <c r="H73">
        <v>3</v>
      </c>
      <c r="I73">
        <v>4</v>
      </c>
      <c r="J73" t="s">
        <v>22</v>
      </c>
      <c r="K73" t="s">
        <v>23</v>
      </c>
      <c r="L73">
        <v>2.94</v>
      </c>
      <c r="M73" t="s">
        <v>24</v>
      </c>
      <c r="N73" t="s">
        <v>25</v>
      </c>
      <c r="O73">
        <v>73067</v>
      </c>
      <c r="P73">
        <v>1</v>
      </c>
      <c r="Q73" t="s">
        <v>25</v>
      </c>
      <c r="R73" t="s">
        <v>26</v>
      </c>
    </row>
    <row r="74" spans="1:18" x14ac:dyDescent="0.3">
      <c r="A74" t="s">
        <v>155</v>
      </c>
      <c r="B74" s="2">
        <v>45905</v>
      </c>
      <c r="C74" t="s">
        <v>104</v>
      </c>
      <c r="D74" t="s">
        <v>78</v>
      </c>
      <c r="E74" t="s">
        <v>75</v>
      </c>
      <c r="F74">
        <v>31</v>
      </c>
      <c r="G74">
        <v>2</v>
      </c>
      <c r="H74">
        <v>0</v>
      </c>
      <c r="I74">
        <v>8</v>
      </c>
      <c r="J74" t="s">
        <v>38</v>
      </c>
      <c r="K74" t="s">
        <v>23</v>
      </c>
      <c r="L74">
        <v>3.04</v>
      </c>
      <c r="M74" t="s">
        <v>24</v>
      </c>
      <c r="N74" t="s">
        <v>25</v>
      </c>
      <c r="O74">
        <v>155042</v>
      </c>
      <c r="P74">
        <v>5</v>
      </c>
      <c r="Q74" t="s">
        <v>25</v>
      </c>
      <c r="R74" t="s">
        <v>26</v>
      </c>
    </row>
    <row r="75" spans="1:18" x14ac:dyDescent="0.3">
      <c r="A75" t="s">
        <v>156</v>
      </c>
      <c r="B75" s="2">
        <v>45349</v>
      </c>
      <c r="C75" t="s">
        <v>19</v>
      </c>
      <c r="D75" t="s">
        <v>72</v>
      </c>
      <c r="E75" t="s">
        <v>37</v>
      </c>
      <c r="F75">
        <v>26</v>
      </c>
      <c r="G75">
        <v>3</v>
      </c>
      <c r="H75">
        <v>1</v>
      </c>
      <c r="I75">
        <v>5</v>
      </c>
      <c r="J75" t="s">
        <v>61</v>
      </c>
      <c r="K75" t="s">
        <v>23</v>
      </c>
      <c r="L75">
        <v>3.11</v>
      </c>
      <c r="M75" t="s">
        <v>50</v>
      </c>
      <c r="N75" t="s">
        <v>25</v>
      </c>
      <c r="O75">
        <v>67441</v>
      </c>
      <c r="P75">
        <v>1</v>
      </c>
      <c r="Q75" t="s">
        <v>26</v>
      </c>
      <c r="R75" t="s">
        <v>26</v>
      </c>
    </row>
    <row r="76" spans="1:18" x14ac:dyDescent="0.3">
      <c r="A76" t="s">
        <v>157</v>
      </c>
      <c r="B76" s="2">
        <v>45642</v>
      </c>
      <c r="C76" t="s">
        <v>35</v>
      </c>
      <c r="D76" t="s">
        <v>45</v>
      </c>
      <c r="E76" t="s">
        <v>54</v>
      </c>
      <c r="F76">
        <v>29</v>
      </c>
      <c r="G76">
        <v>6</v>
      </c>
      <c r="H76">
        <v>3</v>
      </c>
      <c r="I76">
        <v>5</v>
      </c>
      <c r="J76" t="s">
        <v>22</v>
      </c>
      <c r="K76" t="s">
        <v>23</v>
      </c>
      <c r="L76">
        <v>3.9</v>
      </c>
      <c r="M76" t="s">
        <v>24</v>
      </c>
      <c r="N76" t="s">
        <v>25</v>
      </c>
      <c r="O76">
        <v>88981</v>
      </c>
      <c r="P76">
        <v>5</v>
      </c>
      <c r="Q76" t="s">
        <v>25</v>
      </c>
      <c r="R76" t="s">
        <v>26</v>
      </c>
    </row>
    <row r="77" spans="1:18" x14ac:dyDescent="0.3">
      <c r="A77" t="s">
        <v>158</v>
      </c>
      <c r="B77" s="2">
        <v>45996</v>
      </c>
      <c r="C77" t="s">
        <v>19</v>
      </c>
      <c r="D77" t="s">
        <v>57</v>
      </c>
      <c r="E77" t="s">
        <v>21</v>
      </c>
      <c r="F77">
        <v>25</v>
      </c>
      <c r="G77">
        <v>7</v>
      </c>
      <c r="H77">
        <v>3</v>
      </c>
      <c r="I77">
        <v>6</v>
      </c>
      <c r="J77" t="s">
        <v>22</v>
      </c>
      <c r="K77" t="s">
        <v>23</v>
      </c>
      <c r="L77">
        <v>3.2</v>
      </c>
      <c r="M77" t="s">
        <v>24</v>
      </c>
      <c r="N77" t="s">
        <v>25</v>
      </c>
      <c r="P77">
        <v>1</v>
      </c>
      <c r="Q77" t="s">
        <v>25</v>
      </c>
      <c r="R77" t="s">
        <v>26</v>
      </c>
    </row>
    <row r="78" spans="1:18" x14ac:dyDescent="0.3">
      <c r="A78" t="s">
        <v>159</v>
      </c>
      <c r="B78" s="2">
        <v>45720</v>
      </c>
      <c r="C78" t="s">
        <v>52</v>
      </c>
      <c r="D78" t="s">
        <v>111</v>
      </c>
      <c r="E78" t="s">
        <v>37</v>
      </c>
      <c r="F78">
        <v>24</v>
      </c>
      <c r="G78">
        <v>7</v>
      </c>
      <c r="H78">
        <v>4</v>
      </c>
      <c r="I78">
        <v>3</v>
      </c>
      <c r="J78" t="s">
        <v>38</v>
      </c>
      <c r="K78" t="s">
        <v>23</v>
      </c>
      <c r="L78">
        <v>1.93</v>
      </c>
      <c r="M78" t="s">
        <v>24</v>
      </c>
      <c r="N78" t="s">
        <v>25</v>
      </c>
      <c r="O78">
        <v>131856</v>
      </c>
      <c r="P78">
        <v>2</v>
      </c>
      <c r="Q78" t="s">
        <v>25</v>
      </c>
      <c r="R78" t="s">
        <v>26</v>
      </c>
    </row>
    <row r="79" spans="1:18" x14ac:dyDescent="0.3">
      <c r="A79" t="s">
        <v>160</v>
      </c>
      <c r="B79" s="2">
        <v>45733</v>
      </c>
      <c r="C79" t="s">
        <v>28</v>
      </c>
      <c r="D79" t="s">
        <v>78</v>
      </c>
      <c r="E79" t="s">
        <v>75</v>
      </c>
      <c r="F79">
        <v>29</v>
      </c>
      <c r="G79">
        <v>7</v>
      </c>
      <c r="H79">
        <v>4</v>
      </c>
      <c r="I79">
        <v>5</v>
      </c>
      <c r="J79" t="s">
        <v>22</v>
      </c>
      <c r="K79" t="s">
        <v>23</v>
      </c>
      <c r="L79">
        <v>4.13</v>
      </c>
      <c r="M79" t="s">
        <v>24</v>
      </c>
      <c r="N79" t="s">
        <v>25</v>
      </c>
      <c r="O79">
        <v>88760</v>
      </c>
      <c r="P79">
        <v>1</v>
      </c>
      <c r="Q79" t="s">
        <v>25</v>
      </c>
      <c r="R79" t="s">
        <v>26</v>
      </c>
    </row>
    <row r="80" spans="1:18" x14ac:dyDescent="0.3">
      <c r="A80" t="s">
        <v>161</v>
      </c>
      <c r="B80" s="2">
        <v>45539</v>
      </c>
      <c r="C80" t="s">
        <v>28</v>
      </c>
      <c r="D80" t="s">
        <v>70</v>
      </c>
      <c r="E80" t="s">
        <v>54</v>
      </c>
      <c r="F80">
        <v>24</v>
      </c>
      <c r="G80">
        <v>5</v>
      </c>
      <c r="H80">
        <v>5</v>
      </c>
      <c r="I80">
        <v>5</v>
      </c>
      <c r="J80" t="s">
        <v>22</v>
      </c>
      <c r="K80" t="s">
        <v>23</v>
      </c>
      <c r="L80">
        <v>2.37</v>
      </c>
      <c r="M80" t="s">
        <v>50</v>
      </c>
      <c r="N80" t="s">
        <v>25</v>
      </c>
      <c r="O80">
        <v>110786</v>
      </c>
      <c r="P80">
        <v>3</v>
      </c>
      <c r="Q80" t="s">
        <v>26</v>
      </c>
      <c r="R80" t="s">
        <v>26</v>
      </c>
    </row>
    <row r="81" spans="1:18" x14ac:dyDescent="0.3">
      <c r="A81" t="s">
        <v>162</v>
      </c>
      <c r="B81" s="2">
        <v>45589</v>
      </c>
      <c r="C81" t="s">
        <v>28</v>
      </c>
      <c r="E81" t="s">
        <v>30</v>
      </c>
      <c r="F81">
        <v>26</v>
      </c>
      <c r="G81">
        <v>2</v>
      </c>
      <c r="H81">
        <v>0</v>
      </c>
      <c r="I81">
        <v>1</v>
      </c>
      <c r="J81" t="s">
        <v>22</v>
      </c>
      <c r="K81" t="s">
        <v>23</v>
      </c>
      <c r="L81">
        <v>3.84</v>
      </c>
      <c r="M81" t="s">
        <v>24</v>
      </c>
      <c r="N81" t="s">
        <v>25</v>
      </c>
      <c r="O81">
        <v>62136</v>
      </c>
      <c r="P81">
        <v>3</v>
      </c>
      <c r="Q81" t="s">
        <v>26</v>
      </c>
      <c r="R81" t="s">
        <v>26</v>
      </c>
    </row>
    <row r="82" spans="1:18" x14ac:dyDescent="0.3">
      <c r="A82" t="s">
        <v>163</v>
      </c>
      <c r="B82" s="2">
        <v>45729</v>
      </c>
      <c r="C82" t="s">
        <v>35</v>
      </c>
      <c r="E82" t="s">
        <v>21</v>
      </c>
      <c r="F82">
        <v>21</v>
      </c>
      <c r="G82">
        <v>1</v>
      </c>
      <c r="H82">
        <v>0</v>
      </c>
      <c r="I82">
        <v>3</v>
      </c>
      <c r="J82" t="s">
        <v>38</v>
      </c>
      <c r="K82" t="s">
        <v>23</v>
      </c>
      <c r="L82">
        <v>3.1</v>
      </c>
      <c r="M82" t="s">
        <v>50</v>
      </c>
      <c r="N82" t="s">
        <v>25</v>
      </c>
      <c r="O82">
        <v>146174</v>
      </c>
      <c r="P82">
        <v>3</v>
      </c>
      <c r="Q82" t="s">
        <v>25</v>
      </c>
      <c r="R82" t="s">
        <v>26</v>
      </c>
    </row>
    <row r="83" spans="1:18" x14ac:dyDescent="0.3">
      <c r="A83" t="s">
        <v>164</v>
      </c>
      <c r="B83" s="2">
        <v>45608</v>
      </c>
      <c r="C83" t="s">
        <v>28</v>
      </c>
      <c r="D83" t="s">
        <v>165</v>
      </c>
      <c r="E83" t="s">
        <v>37</v>
      </c>
      <c r="F83">
        <v>32</v>
      </c>
      <c r="G83">
        <v>6</v>
      </c>
      <c r="H83">
        <v>1</v>
      </c>
      <c r="I83">
        <v>2</v>
      </c>
      <c r="J83" t="s">
        <v>38</v>
      </c>
      <c r="K83" t="s">
        <v>23</v>
      </c>
      <c r="L83">
        <v>3.02</v>
      </c>
      <c r="M83" t="s">
        <v>24</v>
      </c>
      <c r="N83" t="s">
        <v>25</v>
      </c>
      <c r="O83">
        <v>148007</v>
      </c>
      <c r="P83">
        <v>4</v>
      </c>
      <c r="Q83" t="s">
        <v>26</v>
      </c>
      <c r="R83" t="s">
        <v>26</v>
      </c>
    </row>
    <row r="84" spans="1:18" x14ac:dyDescent="0.3">
      <c r="A84" t="s">
        <v>166</v>
      </c>
      <c r="B84" s="2">
        <v>45846</v>
      </c>
      <c r="C84" t="s">
        <v>28</v>
      </c>
      <c r="D84" t="s">
        <v>124</v>
      </c>
      <c r="E84" t="s">
        <v>33</v>
      </c>
      <c r="F84">
        <v>32</v>
      </c>
      <c r="G84">
        <v>4</v>
      </c>
      <c r="H84">
        <v>0</v>
      </c>
      <c r="I84">
        <v>2</v>
      </c>
      <c r="J84" t="s">
        <v>22</v>
      </c>
      <c r="K84" t="s">
        <v>23</v>
      </c>
      <c r="L84">
        <v>2.2599999999999998</v>
      </c>
      <c r="M84" t="s">
        <v>24</v>
      </c>
      <c r="N84" t="s">
        <v>25</v>
      </c>
      <c r="O84">
        <v>96941</v>
      </c>
      <c r="P84">
        <v>2</v>
      </c>
      <c r="Q84" t="s">
        <v>25</v>
      </c>
      <c r="R84" t="s">
        <v>26</v>
      </c>
    </row>
    <row r="85" spans="1:18" x14ac:dyDescent="0.3">
      <c r="A85" t="s">
        <v>167</v>
      </c>
      <c r="B85" s="2">
        <v>45528</v>
      </c>
      <c r="C85" t="s">
        <v>59</v>
      </c>
      <c r="D85" t="s">
        <v>91</v>
      </c>
      <c r="E85" t="s">
        <v>30</v>
      </c>
      <c r="F85">
        <v>25</v>
      </c>
      <c r="G85">
        <v>5</v>
      </c>
      <c r="H85">
        <v>0</v>
      </c>
      <c r="I85">
        <v>8</v>
      </c>
      <c r="J85" t="s">
        <v>38</v>
      </c>
      <c r="K85" t="s">
        <v>23</v>
      </c>
      <c r="L85">
        <v>0.65</v>
      </c>
      <c r="M85" t="s">
        <v>24</v>
      </c>
      <c r="N85" t="s">
        <v>25</v>
      </c>
      <c r="O85">
        <v>174482</v>
      </c>
      <c r="P85">
        <v>4</v>
      </c>
      <c r="Q85" t="s">
        <v>26</v>
      </c>
      <c r="R85" t="s">
        <v>26</v>
      </c>
    </row>
    <row r="86" spans="1:18" x14ac:dyDescent="0.3">
      <c r="A86" t="s">
        <v>168</v>
      </c>
      <c r="B86" s="2">
        <v>45825</v>
      </c>
      <c r="C86" t="s">
        <v>28</v>
      </c>
      <c r="D86" t="s">
        <v>70</v>
      </c>
      <c r="E86" t="s">
        <v>30</v>
      </c>
      <c r="F86">
        <v>39</v>
      </c>
      <c r="G86">
        <v>7</v>
      </c>
      <c r="H86">
        <v>5</v>
      </c>
      <c r="I86">
        <v>8</v>
      </c>
      <c r="J86" t="s">
        <v>38</v>
      </c>
      <c r="K86" t="s">
        <v>23</v>
      </c>
      <c r="L86">
        <v>2.96</v>
      </c>
      <c r="M86" t="s">
        <v>94</v>
      </c>
      <c r="N86" t="s">
        <v>25</v>
      </c>
      <c r="O86">
        <v>169289</v>
      </c>
      <c r="P86">
        <v>4</v>
      </c>
      <c r="Q86" t="s">
        <v>26</v>
      </c>
      <c r="R86" t="s">
        <v>26</v>
      </c>
    </row>
    <row r="87" spans="1:18" x14ac:dyDescent="0.3">
      <c r="A87" t="s">
        <v>169</v>
      </c>
      <c r="B87" s="2">
        <v>45712</v>
      </c>
      <c r="C87" t="s">
        <v>59</v>
      </c>
      <c r="D87" t="s">
        <v>170</v>
      </c>
      <c r="E87" t="s">
        <v>75</v>
      </c>
      <c r="G87">
        <v>2</v>
      </c>
      <c r="H87">
        <v>2</v>
      </c>
      <c r="I87">
        <v>3</v>
      </c>
      <c r="J87" t="s">
        <v>22</v>
      </c>
      <c r="K87" t="s">
        <v>23</v>
      </c>
      <c r="L87">
        <v>3.48</v>
      </c>
      <c r="M87" t="s">
        <v>171</v>
      </c>
      <c r="N87" t="s">
        <v>25</v>
      </c>
      <c r="O87">
        <v>91460</v>
      </c>
      <c r="P87">
        <v>1</v>
      </c>
      <c r="Q87" t="s">
        <v>25</v>
      </c>
      <c r="R87" t="s">
        <v>26</v>
      </c>
    </row>
    <row r="88" spans="1:18" x14ac:dyDescent="0.3">
      <c r="A88" t="s">
        <v>172</v>
      </c>
      <c r="B88" s="2">
        <v>45857</v>
      </c>
      <c r="C88" t="s">
        <v>35</v>
      </c>
      <c r="D88" t="s">
        <v>40</v>
      </c>
      <c r="E88" t="s">
        <v>21</v>
      </c>
      <c r="F88">
        <v>23</v>
      </c>
      <c r="G88">
        <v>7</v>
      </c>
      <c r="H88">
        <v>1</v>
      </c>
      <c r="J88" t="s">
        <v>22</v>
      </c>
      <c r="K88" t="s">
        <v>23</v>
      </c>
      <c r="L88">
        <v>2.95</v>
      </c>
      <c r="M88" t="s">
        <v>24</v>
      </c>
      <c r="N88" t="s">
        <v>25</v>
      </c>
      <c r="O88">
        <v>82938</v>
      </c>
      <c r="P88">
        <v>4</v>
      </c>
      <c r="Q88" t="s">
        <v>25</v>
      </c>
      <c r="R88" t="s">
        <v>25</v>
      </c>
    </row>
    <row r="89" spans="1:18" x14ac:dyDescent="0.3">
      <c r="A89" t="s">
        <v>173</v>
      </c>
      <c r="B89" s="2">
        <v>45295</v>
      </c>
      <c r="C89" t="s">
        <v>59</v>
      </c>
      <c r="D89" t="s">
        <v>91</v>
      </c>
      <c r="E89" t="s">
        <v>30</v>
      </c>
      <c r="F89">
        <v>29</v>
      </c>
      <c r="G89">
        <v>3</v>
      </c>
      <c r="H89">
        <v>2</v>
      </c>
      <c r="I89">
        <v>8</v>
      </c>
      <c r="J89" t="s">
        <v>22</v>
      </c>
      <c r="K89" t="s">
        <v>42</v>
      </c>
      <c r="L89">
        <v>2.34</v>
      </c>
      <c r="M89" t="s">
        <v>24</v>
      </c>
      <c r="N89" t="s">
        <v>25</v>
      </c>
      <c r="O89">
        <v>22415</v>
      </c>
      <c r="P89">
        <v>1</v>
      </c>
      <c r="Q89" t="s">
        <v>25</v>
      </c>
      <c r="R89" t="s">
        <v>26</v>
      </c>
    </row>
    <row r="90" spans="1:18" x14ac:dyDescent="0.3">
      <c r="A90" t="s">
        <v>174</v>
      </c>
      <c r="B90" s="2">
        <v>45346</v>
      </c>
      <c r="C90" t="s">
        <v>28</v>
      </c>
      <c r="D90" t="s">
        <v>29</v>
      </c>
      <c r="E90" t="s">
        <v>54</v>
      </c>
      <c r="F90">
        <v>30</v>
      </c>
      <c r="G90">
        <v>4</v>
      </c>
      <c r="H90">
        <v>0</v>
      </c>
      <c r="I90">
        <v>4</v>
      </c>
      <c r="J90" t="s">
        <v>22</v>
      </c>
      <c r="K90" t="s">
        <v>23</v>
      </c>
      <c r="L90">
        <v>1.96</v>
      </c>
      <c r="M90" t="s">
        <v>94</v>
      </c>
      <c r="N90" t="s">
        <v>25</v>
      </c>
      <c r="O90">
        <v>62771</v>
      </c>
      <c r="P90">
        <v>1</v>
      </c>
      <c r="Q90" t="s">
        <v>25</v>
      </c>
      <c r="R90" t="s">
        <v>26</v>
      </c>
    </row>
    <row r="91" spans="1:18" x14ac:dyDescent="0.3">
      <c r="A91" t="s">
        <v>175</v>
      </c>
      <c r="B91" s="2">
        <v>45539</v>
      </c>
      <c r="C91" t="s">
        <v>176</v>
      </c>
      <c r="D91" t="s">
        <v>45</v>
      </c>
      <c r="E91" t="s">
        <v>30</v>
      </c>
      <c r="F91">
        <v>32</v>
      </c>
      <c r="G91">
        <v>3</v>
      </c>
      <c r="H91">
        <v>3</v>
      </c>
      <c r="I91">
        <v>5</v>
      </c>
      <c r="J91" t="s">
        <v>38</v>
      </c>
      <c r="K91" t="s">
        <v>23</v>
      </c>
      <c r="L91">
        <v>2.58</v>
      </c>
      <c r="M91" t="s">
        <v>24</v>
      </c>
      <c r="N91" t="s">
        <v>25</v>
      </c>
      <c r="O91">
        <v>132153</v>
      </c>
      <c r="P91">
        <v>2</v>
      </c>
      <c r="Q91" t="s">
        <v>25</v>
      </c>
      <c r="R91" t="s">
        <v>26</v>
      </c>
    </row>
    <row r="92" spans="1:18" x14ac:dyDescent="0.3">
      <c r="A92" t="s">
        <v>177</v>
      </c>
      <c r="B92" s="2">
        <v>45766</v>
      </c>
      <c r="C92" t="s">
        <v>52</v>
      </c>
      <c r="D92" t="s">
        <v>87</v>
      </c>
      <c r="E92" t="s">
        <v>21</v>
      </c>
      <c r="F92">
        <v>28</v>
      </c>
      <c r="G92">
        <v>5</v>
      </c>
      <c r="H92">
        <v>0</v>
      </c>
      <c r="J92" t="s">
        <v>22</v>
      </c>
      <c r="K92" t="s">
        <v>23</v>
      </c>
      <c r="L92">
        <v>2.56</v>
      </c>
      <c r="M92" t="s">
        <v>171</v>
      </c>
      <c r="N92" t="s">
        <v>25</v>
      </c>
      <c r="O92">
        <v>77601</v>
      </c>
      <c r="P92">
        <v>1</v>
      </c>
      <c r="Q92" t="s">
        <v>25</v>
      </c>
      <c r="R92" t="s">
        <v>26</v>
      </c>
    </row>
    <row r="93" spans="1:18" x14ac:dyDescent="0.3">
      <c r="A93" t="s">
        <v>178</v>
      </c>
      <c r="B93" s="2">
        <v>45543</v>
      </c>
      <c r="C93" t="s">
        <v>52</v>
      </c>
      <c r="D93" t="s">
        <v>64</v>
      </c>
      <c r="E93" t="s">
        <v>33</v>
      </c>
      <c r="F93">
        <v>25</v>
      </c>
      <c r="G93">
        <v>6</v>
      </c>
      <c r="H93">
        <v>2</v>
      </c>
      <c r="I93">
        <v>4</v>
      </c>
      <c r="J93" t="s">
        <v>22</v>
      </c>
      <c r="K93" t="s">
        <v>23</v>
      </c>
      <c r="L93">
        <v>2.5299999999999998</v>
      </c>
      <c r="M93" t="s">
        <v>102</v>
      </c>
      <c r="N93" t="s">
        <v>25</v>
      </c>
      <c r="O93">
        <v>51158</v>
      </c>
      <c r="P93">
        <v>1</v>
      </c>
      <c r="Q93" t="s">
        <v>25</v>
      </c>
      <c r="R93" t="s">
        <v>26</v>
      </c>
    </row>
    <row r="94" spans="1:18" x14ac:dyDescent="0.3">
      <c r="A94" t="s">
        <v>179</v>
      </c>
      <c r="B94" s="2">
        <v>45576</v>
      </c>
      <c r="C94" t="s">
        <v>28</v>
      </c>
      <c r="D94" t="s">
        <v>78</v>
      </c>
      <c r="E94" t="s">
        <v>33</v>
      </c>
      <c r="F94">
        <v>38</v>
      </c>
      <c r="G94">
        <v>4</v>
      </c>
      <c r="H94">
        <v>1</v>
      </c>
      <c r="I94">
        <v>5</v>
      </c>
      <c r="J94" t="s">
        <v>38</v>
      </c>
      <c r="K94" t="s">
        <v>23</v>
      </c>
      <c r="L94">
        <v>2.72</v>
      </c>
      <c r="M94" t="s">
        <v>102</v>
      </c>
      <c r="N94" t="s">
        <v>25</v>
      </c>
      <c r="O94">
        <v>150349</v>
      </c>
      <c r="P94">
        <v>3</v>
      </c>
      <c r="Q94" t="s">
        <v>25</v>
      </c>
      <c r="R94" t="s">
        <v>26</v>
      </c>
    </row>
    <row r="95" spans="1:18" x14ac:dyDescent="0.3">
      <c r="A95" t="s">
        <v>180</v>
      </c>
      <c r="B95" s="2">
        <v>45795</v>
      </c>
      <c r="C95" t="s">
        <v>35</v>
      </c>
      <c r="D95" t="s">
        <v>36</v>
      </c>
      <c r="E95" t="s">
        <v>54</v>
      </c>
      <c r="F95">
        <v>27</v>
      </c>
      <c r="G95">
        <v>7</v>
      </c>
      <c r="H95">
        <v>0</v>
      </c>
      <c r="I95">
        <v>6</v>
      </c>
      <c r="J95" t="s">
        <v>22</v>
      </c>
      <c r="K95" t="s">
        <v>23</v>
      </c>
      <c r="L95">
        <v>3.52</v>
      </c>
      <c r="M95" t="s">
        <v>24</v>
      </c>
      <c r="N95" t="s">
        <v>25</v>
      </c>
      <c r="O95">
        <v>51737</v>
      </c>
      <c r="P95">
        <v>1</v>
      </c>
      <c r="Q95" t="s">
        <v>25</v>
      </c>
      <c r="R95" t="s">
        <v>26</v>
      </c>
    </row>
    <row r="96" spans="1:18" x14ac:dyDescent="0.3">
      <c r="A96" t="s">
        <v>181</v>
      </c>
      <c r="B96" s="2">
        <v>45487</v>
      </c>
      <c r="C96" t="s">
        <v>59</v>
      </c>
      <c r="D96" t="s">
        <v>60</v>
      </c>
      <c r="E96" t="s">
        <v>30</v>
      </c>
      <c r="F96">
        <v>27</v>
      </c>
      <c r="G96">
        <v>3</v>
      </c>
      <c r="H96">
        <v>2</v>
      </c>
      <c r="I96">
        <v>0</v>
      </c>
      <c r="J96" t="s">
        <v>22</v>
      </c>
      <c r="K96" t="s">
        <v>23</v>
      </c>
      <c r="L96">
        <v>2.27</v>
      </c>
      <c r="M96" t="s">
        <v>24</v>
      </c>
      <c r="N96" t="s">
        <v>25</v>
      </c>
      <c r="O96">
        <v>99171</v>
      </c>
      <c r="P96">
        <v>4</v>
      </c>
      <c r="Q96" t="s">
        <v>25</v>
      </c>
      <c r="R96" t="s">
        <v>25</v>
      </c>
    </row>
    <row r="97" spans="1:18" x14ac:dyDescent="0.3">
      <c r="A97" t="s">
        <v>182</v>
      </c>
      <c r="B97" s="2">
        <v>45973</v>
      </c>
      <c r="C97" t="s">
        <v>113</v>
      </c>
      <c r="D97" t="s">
        <v>138</v>
      </c>
      <c r="E97" t="s">
        <v>30</v>
      </c>
      <c r="F97">
        <v>27</v>
      </c>
      <c r="G97">
        <v>2</v>
      </c>
      <c r="H97">
        <v>1</v>
      </c>
      <c r="I97">
        <v>6</v>
      </c>
      <c r="J97" t="s">
        <v>22</v>
      </c>
      <c r="K97" t="s">
        <v>23</v>
      </c>
      <c r="L97">
        <v>3.27</v>
      </c>
      <c r="M97" t="s">
        <v>50</v>
      </c>
      <c r="N97" t="s">
        <v>25</v>
      </c>
      <c r="O97">
        <v>141972</v>
      </c>
      <c r="P97">
        <v>3</v>
      </c>
      <c r="Q97" t="s">
        <v>25</v>
      </c>
      <c r="R97" t="s">
        <v>26</v>
      </c>
    </row>
    <row r="98" spans="1:18" x14ac:dyDescent="0.3">
      <c r="A98" t="s">
        <v>183</v>
      </c>
      <c r="B98" s="2">
        <v>45744</v>
      </c>
      <c r="C98" t="s">
        <v>52</v>
      </c>
      <c r="D98" t="s">
        <v>64</v>
      </c>
      <c r="E98" t="s">
        <v>21</v>
      </c>
      <c r="F98">
        <v>28</v>
      </c>
      <c r="G98">
        <v>1</v>
      </c>
      <c r="H98">
        <v>0</v>
      </c>
      <c r="I98">
        <v>3</v>
      </c>
      <c r="J98" t="s">
        <v>22</v>
      </c>
      <c r="K98" t="s">
        <v>23</v>
      </c>
      <c r="L98">
        <v>2.2200000000000002</v>
      </c>
      <c r="M98" t="s">
        <v>102</v>
      </c>
      <c r="N98" t="s">
        <v>25</v>
      </c>
      <c r="O98">
        <v>70086</v>
      </c>
      <c r="P98">
        <v>1</v>
      </c>
      <c r="Q98" t="s">
        <v>25</v>
      </c>
      <c r="R98" t="s">
        <v>26</v>
      </c>
    </row>
    <row r="99" spans="1:18" x14ac:dyDescent="0.3">
      <c r="A99" t="s">
        <v>184</v>
      </c>
      <c r="B99" s="2">
        <v>45565</v>
      </c>
      <c r="C99" t="s">
        <v>28</v>
      </c>
      <c r="D99" t="s">
        <v>29</v>
      </c>
      <c r="E99" t="s">
        <v>75</v>
      </c>
      <c r="F99">
        <v>21</v>
      </c>
      <c r="G99">
        <v>1</v>
      </c>
      <c r="H99">
        <v>0</v>
      </c>
      <c r="I99">
        <v>3</v>
      </c>
      <c r="J99" t="s">
        <v>22</v>
      </c>
      <c r="K99" t="s">
        <v>23</v>
      </c>
      <c r="L99">
        <v>2.5099999999999998</v>
      </c>
      <c r="M99" t="s">
        <v>24</v>
      </c>
      <c r="N99" t="s">
        <v>25</v>
      </c>
      <c r="O99">
        <v>107178</v>
      </c>
      <c r="P99">
        <v>3</v>
      </c>
      <c r="Q99" t="s">
        <v>25</v>
      </c>
      <c r="R99" t="s">
        <v>26</v>
      </c>
    </row>
    <row r="100" spans="1:18" x14ac:dyDescent="0.3">
      <c r="A100" t="s">
        <v>185</v>
      </c>
      <c r="B100" s="2">
        <v>45618</v>
      </c>
      <c r="C100" t="s">
        <v>28</v>
      </c>
      <c r="D100" t="s">
        <v>186</v>
      </c>
      <c r="E100" t="s">
        <v>30</v>
      </c>
      <c r="F100">
        <v>28</v>
      </c>
      <c r="G100">
        <v>6</v>
      </c>
      <c r="H100">
        <v>0</v>
      </c>
      <c r="I100">
        <v>7</v>
      </c>
      <c r="J100" t="s">
        <v>38</v>
      </c>
      <c r="K100" t="s">
        <v>23</v>
      </c>
      <c r="L100">
        <v>3.14</v>
      </c>
      <c r="M100" t="s">
        <v>102</v>
      </c>
      <c r="N100" t="s">
        <v>25</v>
      </c>
      <c r="O100">
        <v>123467</v>
      </c>
      <c r="P100">
        <v>6</v>
      </c>
      <c r="Q100" t="s">
        <v>25</v>
      </c>
      <c r="R100" t="s">
        <v>26</v>
      </c>
    </row>
    <row r="101" spans="1:18" x14ac:dyDescent="0.3">
      <c r="A101" t="s">
        <v>187</v>
      </c>
      <c r="B101" s="2">
        <v>45386</v>
      </c>
      <c r="C101" t="s">
        <v>59</v>
      </c>
      <c r="D101" t="s">
        <v>91</v>
      </c>
      <c r="E101" t="s">
        <v>33</v>
      </c>
      <c r="F101">
        <v>31</v>
      </c>
      <c r="G101">
        <v>5</v>
      </c>
      <c r="H101">
        <v>0</v>
      </c>
      <c r="I101">
        <v>2</v>
      </c>
      <c r="J101" t="s">
        <v>22</v>
      </c>
      <c r="K101" t="s">
        <v>23</v>
      </c>
      <c r="L101">
        <v>3</v>
      </c>
      <c r="M101" t="s">
        <v>24</v>
      </c>
      <c r="N101" t="s">
        <v>25</v>
      </c>
      <c r="O101">
        <v>43109</v>
      </c>
      <c r="P101">
        <v>1</v>
      </c>
      <c r="Q101" t="s">
        <v>188</v>
      </c>
      <c r="R101" t="s">
        <v>26</v>
      </c>
    </row>
    <row r="102" spans="1:18" x14ac:dyDescent="0.3">
      <c r="A102" t="s">
        <v>189</v>
      </c>
      <c r="B102" s="2">
        <v>45594</v>
      </c>
      <c r="C102" t="s">
        <v>19</v>
      </c>
      <c r="D102" t="s">
        <v>20</v>
      </c>
      <c r="E102" t="s">
        <v>75</v>
      </c>
      <c r="F102">
        <v>33</v>
      </c>
      <c r="G102">
        <v>4</v>
      </c>
      <c r="H102">
        <v>1</v>
      </c>
      <c r="I102">
        <v>8</v>
      </c>
      <c r="J102" t="s">
        <v>38</v>
      </c>
      <c r="K102" t="s">
        <v>23</v>
      </c>
      <c r="L102">
        <v>2.33</v>
      </c>
      <c r="M102" t="s">
        <v>24</v>
      </c>
      <c r="N102" t="s">
        <v>25</v>
      </c>
      <c r="O102">
        <v>159074</v>
      </c>
      <c r="P102">
        <v>3</v>
      </c>
      <c r="Q102" t="s">
        <v>25</v>
      </c>
      <c r="R102" t="s">
        <v>26</v>
      </c>
    </row>
    <row r="103" spans="1:18" x14ac:dyDescent="0.3">
      <c r="A103" t="s">
        <v>190</v>
      </c>
      <c r="B103" s="2">
        <v>45685</v>
      </c>
      <c r="C103" t="s">
        <v>35</v>
      </c>
      <c r="D103" t="s">
        <v>191</v>
      </c>
      <c r="E103" t="s">
        <v>37</v>
      </c>
      <c r="F103">
        <v>26</v>
      </c>
      <c r="G103">
        <v>2</v>
      </c>
      <c r="H103">
        <v>0</v>
      </c>
      <c r="I103">
        <v>3</v>
      </c>
      <c r="J103" t="s">
        <v>22</v>
      </c>
      <c r="K103" t="s">
        <v>23</v>
      </c>
      <c r="L103">
        <v>2.62</v>
      </c>
      <c r="M103" t="s">
        <v>88</v>
      </c>
      <c r="N103" t="s">
        <v>25</v>
      </c>
      <c r="O103">
        <v>66213</v>
      </c>
      <c r="P103">
        <v>1</v>
      </c>
      <c r="Q103" t="s">
        <v>26</v>
      </c>
      <c r="R103" t="s">
        <v>26</v>
      </c>
    </row>
    <row r="104" spans="1:18" x14ac:dyDescent="0.3">
      <c r="A104" t="s">
        <v>192</v>
      </c>
      <c r="B104" s="2">
        <v>45770</v>
      </c>
      <c r="C104" t="s">
        <v>52</v>
      </c>
      <c r="D104" t="s">
        <v>64</v>
      </c>
      <c r="E104" t="s">
        <v>75</v>
      </c>
      <c r="F104">
        <v>30</v>
      </c>
      <c r="G104">
        <v>5</v>
      </c>
      <c r="H104">
        <v>1</v>
      </c>
      <c r="I104">
        <v>4</v>
      </c>
      <c r="J104" t="s">
        <v>22</v>
      </c>
      <c r="K104" t="s">
        <v>23</v>
      </c>
      <c r="L104">
        <v>2.97</v>
      </c>
      <c r="M104" t="s">
        <v>24</v>
      </c>
      <c r="N104" t="s">
        <v>25</v>
      </c>
      <c r="O104">
        <v>42310</v>
      </c>
      <c r="P104">
        <v>1</v>
      </c>
      <c r="Q104" t="s">
        <v>25</v>
      </c>
      <c r="R104" t="s">
        <v>26</v>
      </c>
    </row>
    <row r="105" spans="1:18" x14ac:dyDescent="0.3">
      <c r="A105" t="s">
        <v>193</v>
      </c>
      <c r="B105" s="2">
        <v>46000</v>
      </c>
      <c r="C105" t="s">
        <v>28</v>
      </c>
      <c r="D105" t="s">
        <v>78</v>
      </c>
      <c r="E105" t="s">
        <v>75</v>
      </c>
      <c r="F105">
        <v>32</v>
      </c>
      <c r="G105">
        <v>1</v>
      </c>
      <c r="H105">
        <v>1</v>
      </c>
      <c r="I105">
        <v>6</v>
      </c>
      <c r="J105" t="s">
        <v>38</v>
      </c>
      <c r="K105" t="s">
        <v>55</v>
      </c>
      <c r="L105">
        <v>2.56</v>
      </c>
      <c r="M105" t="s">
        <v>24</v>
      </c>
      <c r="N105" t="s">
        <v>25</v>
      </c>
      <c r="O105">
        <v>147483</v>
      </c>
      <c r="P105">
        <v>5</v>
      </c>
      <c r="Q105" t="s">
        <v>25</v>
      </c>
      <c r="R105" t="s">
        <v>26</v>
      </c>
    </row>
    <row r="106" spans="1:18" x14ac:dyDescent="0.3">
      <c r="A106" t="s">
        <v>194</v>
      </c>
      <c r="B106" s="2">
        <v>45596</v>
      </c>
      <c r="C106" t="s">
        <v>59</v>
      </c>
      <c r="D106" t="s">
        <v>49</v>
      </c>
      <c r="E106" t="s">
        <v>30</v>
      </c>
      <c r="F106">
        <v>20</v>
      </c>
      <c r="G106">
        <v>2</v>
      </c>
      <c r="H106">
        <v>1</v>
      </c>
      <c r="I106">
        <v>6</v>
      </c>
      <c r="J106" t="s">
        <v>38</v>
      </c>
      <c r="K106" t="s">
        <v>23</v>
      </c>
      <c r="L106">
        <v>2.74</v>
      </c>
      <c r="M106" t="s">
        <v>24</v>
      </c>
      <c r="N106" t="s">
        <v>25</v>
      </c>
      <c r="O106">
        <v>159264</v>
      </c>
      <c r="P106">
        <v>2</v>
      </c>
      <c r="Q106" t="s">
        <v>25</v>
      </c>
      <c r="R106" t="s">
        <v>26</v>
      </c>
    </row>
    <row r="107" spans="1:18" x14ac:dyDescent="0.3">
      <c r="A107" t="s">
        <v>195</v>
      </c>
      <c r="B107" s="2">
        <v>45344</v>
      </c>
      <c r="C107" t="s">
        <v>35</v>
      </c>
      <c r="D107" t="s">
        <v>40</v>
      </c>
      <c r="E107" t="s">
        <v>37</v>
      </c>
      <c r="F107">
        <v>19</v>
      </c>
      <c r="G107">
        <v>7</v>
      </c>
      <c r="H107">
        <v>5</v>
      </c>
      <c r="I107">
        <v>1</v>
      </c>
      <c r="J107" t="s">
        <v>22</v>
      </c>
      <c r="K107" t="s">
        <v>23</v>
      </c>
      <c r="L107">
        <v>3.13</v>
      </c>
      <c r="M107" t="s">
        <v>102</v>
      </c>
      <c r="N107" t="s">
        <v>25</v>
      </c>
      <c r="O107">
        <v>71493</v>
      </c>
      <c r="P107">
        <v>1</v>
      </c>
      <c r="Q107" t="s">
        <v>25</v>
      </c>
      <c r="R107" t="s">
        <v>26</v>
      </c>
    </row>
    <row r="108" spans="1:18" x14ac:dyDescent="0.3">
      <c r="A108" t="s">
        <v>196</v>
      </c>
      <c r="B108" s="2">
        <v>45969</v>
      </c>
      <c r="C108" t="s">
        <v>59</v>
      </c>
      <c r="D108" t="s">
        <v>170</v>
      </c>
      <c r="E108" t="s">
        <v>30</v>
      </c>
      <c r="F108">
        <v>32</v>
      </c>
      <c r="G108">
        <v>7</v>
      </c>
      <c r="H108">
        <v>1</v>
      </c>
      <c r="I108">
        <v>1</v>
      </c>
      <c r="J108" t="s">
        <v>22</v>
      </c>
      <c r="K108" t="s">
        <v>23</v>
      </c>
      <c r="L108">
        <v>3.06</v>
      </c>
      <c r="M108" t="s">
        <v>50</v>
      </c>
      <c r="N108" t="s">
        <v>25</v>
      </c>
      <c r="O108">
        <v>34724</v>
      </c>
      <c r="P108">
        <v>1</v>
      </c>
      <c r="Q108" t="s">
        <v>25</v>
      </c>
      <c r="R108" t="s">
        <v>26</v>
      </c>
    </row>
    <row r="109" spans="1:18" x14ac:dyDescent="0.3">
      <c r="A109" t="s">
        <v>197</v>
      </c>
      <c r="B109" s="2">
        <v>45428</v>
      </c>
      <c r="C109" t="s">
        <v>52</v>
      </c>
      <c r="D109" t="s">
        <v>129</v>
      </c>
      <c r="E109" t="s">
        <v>21</v>
      </c>
      <c r="F109">
        <v>29</v>
      </c>
      <c r="G109">
        <v>6</v>
      </c>
      <c r="H109">
        <v>5</v>
      </c>
      <c r="I109">
        <v>3</v>
      </c>
      <c r="J109" t="s">
        <v>22</v>
      </c>
      <c r="K109" t="s">
        <v>23</v>
      </c>
      <c r="L109">
        <v>2.89</v>
      </c>
      <c r="M109" t="s">
        <v>24</v>
      </c>
      <c r="N109" t="s">
        <v>25</v>
      </c>
      <c r="O109">
        <v>90157</v>
      </c>
      <c r="P109">
        <v>1</v>
      </c>
      <c r="Q109" t="s">
        <v>25</v>
      </c>
      <c r="R109" t="s">
        <v>26</v>
      </c>
    </row>
    <row r="110" spans="1:18" x14ac:dyDescent="0.3">
      <c r="A110" t="s">
        <v>198</v>
      </c>
      <c r="B110" s="2">
        <v>45837</v>
      </c>
      <c r="C110" t="s">
        <v>35</v>
      </c>
      <c r="D110" t="s">
        <v>36</v>
      </c>
      <c r="E110" t="s">
        <v>37</v>
      </c>
      <c r="F110">
        <v>33</v>
      </c>
      <c r="G110">
        <v>6</v>
      </c>
      <c r="H110">
        <v>3</v>
      </c>
      <c r="I110">
        <v>2</v>
      </c>
      <c r="J110" t="s">
        <v>22</v>
      </c>
      <c r="K110" t="s">
        <v>23</v>
      </c>
      <c r="L110">
        <v>3.39</v>
      </c>
      <c r="M110" t="s">
        <v>24</v>
      </c>
      <c r="N110" t="s">
        <v>25</v>
      </c>
      <c r="O110">
        <v>101039</v>
      </c>
      <c r="P110">
        <v>1</v>
      </c>
      <c r="Q110" t="s">
        <v>25</v>
      </c>
      <c r="R110" t="s">
        <v>26</v>
      </c>
    </row>
    <row r="111" spans="1:18" x14ac:dyDescent="0.3">
      <c r="A111" t="s">
        <v>199</v>
      </c>
      <c r="B111" s="2">
        <v>45773</v>
      </c>
      <c r="C111" t="s">
        <v>35</v>
      </c>
      <c r="D111" t="s">
        <v>45</v>
      </c>
      <c r="E111" t="s">
        <v>21</v>
      </c>
      <c r="F111">
        <v>25</v>
      </c>
      <c r="G111">
        <v>3</v>
      </c>
      <c r="H111">
        <v>3</v>
      </c>
      <c r="I111">
        <v>6</v>
      </c>
      <c r="J111" t="s">
        <v>38</v>
      </c>
      <c r="K111" t="s">
        <v>23</v>
      </c>
      <c r="L111">
        <v>2.99</v>
      </c>
      <c r="M111" t="s">
        <v>102</v>
      </c>
      <c r="N111" t="s">
        <v>25</v>
      </c>
      <c r="O111">
        <v>154278</v>
      </c>
      <c r="P111">
        <v>3</v>
      </c>
      <c r="Q111" t="s">
        <v>25</v>
      </c>
      <c r="R111" t="s">
        <v>26</v>
      </c>
    </row>
    <row r="112" spans="1:18" x14ac:dyDescent="0.3">
      <c r="A112" t="s">
        <v>200</v>
      </c>
      <c r="B112" s="2">
        <v>45668</v>
      </c>
      <c r="C112" t="s">
        <v>52</v>
      </c>
      <c r="D112" t="s">
        <v>111</v>
      </c>
      <c r="E112" t="s">
        <v>21</v>
      </c>
      <c r="F112">
        <v>29</v>
      </c>
      <c r="G112">
        <v>7</v>
      </c>
      <c r="H112">
        <v>5</v>
      </c>
      <c r="I112">
        <v>4</v>
      </c>
      <c r="J112" t="s">
        <v>38</v>
      </c>
      <c r="K112" t="s">
        <v>42</v>
      </c>
      <c r="L112">
        <v>3.74</v>
      </c>
      <c r="M112" t="s">
        <v>171</v>
      </c>
      <c r="N112" t="s">
        <v>25</v>
      </c>
      <c r="O112">
        <v>151360</v>
      </c>
      <c r="P112">
        <v>4</v>
      </c>
      <c r="Q112" t="s">
        <v>25</v>
      </c>
      <c r="R112" t="s">
        <v>26</v>
      </c>
    </row>
    <row r="113" spans="1:18" x14ac:dyDescent="0.3">
      <c r="A113" t="s">
        <v>201</v>
      </c>
      <c r="B113" s="2">
        <v>45674</v>
      </c>
      <c r="C113" t="s">
        <v>48</v>
      </c>
      <c r="D113" t="s">
        <v>91</v>
      </c>
      <c r="E113" t="s">
        <v>21</v>
      </c>
      <c r="F113">
        <v>26</v>
      </c>
      <c r="G113">
        <v>3</v>
      </c>
      <c r="H113">
        <v>0</v>
      </c>
      <c r="I113">
        <v>4</v>
      </c>
      <c r="J113" t="s">
        <v>22</v>
      </c>
      <c r="K113" t="s">
        <v>23</v>
      </c>
      <c r="L113">
        <v>2.86</v>
      </c>
      <c r="M113" t="s">
        <v>50</v>
      </c>
      <c r="N113" t="s">
        <v>25</v>
      </c>
      <c r="O113">
        <v>74861</v>
      </c>
      <c r="P113">
        <v>1</v>
      </c>
      <c r="Q113" t="s">
        <v>25</v>
      </c>
      <c r="R113" t="s">
        <v>26</v>
      </c>
    </row>
    <row r="114" spans="1:18" x14ac:dyDescent="0.3">
      <c r="A114" t="s">
        <v>202</v>
      </c>
      <c r="B114" s="2">
        <v>46011</v>
      </c>
      <c r="C114" t="s">
        <v>52</v>
      </c>
      <c r="D114" t="s">
        <v>64</v>
      </c>
      <c r="E114" t="s">
        <v>75</v>
      </c>
      <c r="F114">
        <v>30</v>
      </c>
      <c r="G114">
        <v>1</v>
      </c>
      <c r="H114">
        <v>1</v>
      </c>
      <c r="I114">
        <v>9</v>
      </c>
      <c r="J114" t="s">
        <v>38</v>
      </c>
      <c r="K114" t="s">
        <v>23</v>
      </c>
      <c r="L114">
        <v>3.58</v>
      </c>
      <c r="M114" t="s">
        <v>24</v>
      </c>
      <c r="N114" t="s">
        <v>25</v>
      </c>
      <c r="O114">
        <v>136849</v>
      </c>
      <c r="P114">
        <v>5</v>
      </c>
      <c r="Q114" t="s">
        <v>25</v>
      </c>
      <c r="R114" t="s">
        <v>26</v>
      </c>
    </row>
    <row r="115" spans="1:18" x14ac:dyDescent="0.3">
      <c r="A115" t="s">
        <v>203</v>
      </c>
      <c r="B115" s="2">
        <v>45844</v>
      </c>
      <c r="C115" t="s">
        <v>59</v>
      </c>
      <c r="D115" t="s">
        <v>91</v>
      </c>
      <c r="E115" t="s">
        <v>54</v>
      </c>
      <c r="F115">
        <v>26</v>
      </c>
      <c r="G115">
        <v>2</v>
      </c>
      <c r="H115">
        <v>0</v>
      </c>
      <c r="I115">
        <v>0</v>
      </c>
      <c r="J115" t="s">
        <v>38</v>
      </c>
      <c r="K115" t="s">
        <v>23</v>
      </c>
      <c r="L115">
        <v>2.5499999999999998</v>
      </c>
      <c r="M115" t="s">
        <v>24</v>
      </c>
      <c r="N115" t="s">
        <v>25</v>
      </c>
      <c r="O115">
        <v>98230</v>
      </c>
      <c r="P115">
        <v>3</v>
      </c>
      <c r="Q115" t="s">
        <v>26</v>
      </c>
      <c r="R115" t="s">
        <v>25</v>
      </c>
    </row>
    <row r="116" spans="1:18" x14ac:dyDescent="0.3">
      <c r="A116" t="s">
        <v>204</v>
      </c>
      <c r="B116" s="2">
        <v>45795</v>
      </c>
      <c r="C116" t="s">
        <v>59</v>
      </c>
      <c r="D116" t="s">
        <v>60</v>
      </c>
      <c r="E116" t="s">
        <v>37</v>
      </c>
      <c r="F116">
        <v>29</v>
      </c>
      <c r="G116">
        <v>3</v>
      </c>
      <c r="H116">
        <v>3</v>
      </c>
      <c r="I116">
        <v>8</v>
      </c>
      <c r="J116" t="s">
        <v>83</v>
      </c>
      <c r="K116" t="s">
        <v>23</v>
      </c>
      <c r="L116">
        <v>3.28</v>
      </c>
      <c r="M116" t="s">
        <v>102</v>
      </c>
      <c r="N116" t="s">
        <v>25</v>
      </c>
      <c r="O116">
        <v>59522</v>
      </c>
      <c r="P116">
        <v>3</v>
      </c>
      <c r="Q116" t="s">
        <v>25</v>
      </c>
      <c r="R116" t="s">
        <v>26</v>
      </c>
    </row>
    <row r="117" spans="1:18" x14ac:dyDescent="0.3">
      <c r="A117" t="s">
        <v>205</v>
      </c>
      <c r="B117" s="2">
        <v>45996</v>
      </c>
      <c r="C117" t="s">
        <v>48</v>
      </c>
      <c r="D117" t="s">
        <v>49</v>
      </c>
      <c r="E117" t="s">
        <v>75</v>
      </c>
      <c r="F117">
        <v>18</v>
      </c>
      <c r="G117">
        <v>1</v>
      </c>
      <c r="H117">
        <v>1</v>
      </c>
      <c r="I117">
        <v>5</v>
      </c>
      <c r="J117" t="s">
        <v>22</v>
      </c>
      <c r="K117" t="s">
        <v>23</v>
      </c>
      <c r="L117">
        <v>3.52</v>
      </c>
      <c r="M117" t="s">
        <v>24</v>
      </c>
      <c r="N117" t="s">
        <v>25</v>
      </c>
      <c r="O117">
        <v>28035</v>
      </c>
      <c r="P117">
        <v>3</v>
      </c>
      <c r="Q117" t="s">
        <v>25</v>
      </c>
      <c r="R117" t="s">
        <v>26</v>
      </c>
    </row>
    <row r="118" spans="1:18" x14ac:dyDescent="0.3">
      <c r="A118" t="s">
        <v>206</v>
      </c>
      <c r="B118" s="2">
        <v>45387</v>
      </c>
      <c r="C118" t="s">
        <v>28</v>
      </c>
      <c r="D118" t="s">
        <v>124</v>
      </c>
      <c r="E118" t="s">
        <v>30</v>
      </c>
      <c r="F118">
        <v>30</v>
      </c>
      <c r="G118">
        <v>1</v>
      </c>
      <c r="H118">
        <v>1</v>
      </c>
      <c r="I118">
        <v>4</v>
      </c>
      <c r="J118" t="s">
        <v>22</v>
      </c>
      <c r="K118" t="s">
        <v>42</v>
      </c>
      <c r="L118">
        <v>3.45</v>
      </c>
      <c r="M118" t="s">
        <v>171</v>
      </c>
      <c r="N118" t="s">
        <v>25</v>
      </c>
      <c r="O118">
        <v>121767</v>
      </c>
      <c r="P118">
        <v>2</v>
      </c>
      <c r="Q118" t="s">
        <v>25</v>
      </c>
      <c r="R118" t="s">
        <v>26</v>
      </c>
    </row>
    <row r="119" spans="1:18" x14ac:dyDescent="0.3">
      <c r="A119" t="s">
        <v>207</v>
      </c>
      <c r="B119" s="2">
        <v>45861</v>
      </c>
      <c r="C119" t="s">
        <v>52</v>
      </c>
      <c r="D119" t="s">
        <v>129</v>
      </c>
      <c r="E119" t="s">
        <v>54</v>
      </c>
      <c r="F119">
        <v>30</v>
      </c>
      <c r="G119">
        <v>1</v>
      </c>
      <c r="H119">
        <v>1</v>
      </c>
      <c r="I119">
        <v>4</v>
      </c>
      <c r="J119" t="s">
        <v>22</v>
      </c>
      <c r="K119" t="s">
        <v>23</v>
      </c>
      <c r="L119">
        <v>2.63</v>
      </c>
      <c r="N119" t="s">
        <v>25</v>
      </c>
      <c r="O119">
        <v>85758</v>
      </c>
      <c r="P119">
        <v>1</v>
      </c>
      <c r="Q119" t="s">
        <v>26</v>
      </c>
      <c r="R119" t="s">
        <v>26</v>
      </c>
    </row>
    <row r="120" spans="1:18" x14ac:dyDescent="0.3">
      <c r="A120" t="s">
        <v>208</v>
      </c>
      <c r="B120" s="2">
        <v>45442</v>
      </c>
      <c r="C120" t="s">
        <v>28</v>
      </c>
      <c r="D120" t="s">
        <v>78</v>
      </c>
      <c r="E120" t="s">
        <v>54</v>
      </c>
      <c r="F120">
        <v>29</v>
      </c>
      <c r="G120">
        <v>7</v>
      </c>
      <c r="H120">
        <v>1</v>
      </c>
      <c r="I120">
        <v>4</v>
      </c>
      <c r="J120" t="s">
        <v>22</v>
      </c>
      <c r="K120" t="s">
        <v>23</v>
      </c>
      <c r="M120" t="s">
        <v>102</v>
      </c>
      <c r="N120" t="s">
        <v>25</v>
      </c>
      <c r="O120">
        <v>73341</v>
      </c>
      <c r="P120">
        <v>3</v>
      </c>
      <c r="Q120" t="s">
        <v>26</v>
      </c>
      <c r="R120" t="s">
        <v>26</v>
      </c>
    </row>
    <row r="121" spans="1:18" x14ac:dyDescent="0.3">
      <c r="A121" t="s">
        <v>209</v>
      </c>
      <c r="B121" s="2">
        <v>45537</v>
      </c>
      <c r="C121" t="s">
        <v>28</v>
      </c>
      <c r="D121" t="s">
        <v>124</v>
      </c>
      <c r="E121" t="s">
        <v>37</v>
      </c>
      <c r="F121">
        <v>26</v>
      </c>
      <c r="G121">
        <v>7</v>
      </c>
      <c r="H121">
        <v>1</v>
      </c>
      <c r="I121">
        <v>4</v>
      </c>
      <c r="J121" t="s">
        <v>22</v>
      </c>
      <c r="K121" t="s">
        <v>23</v>
      </c>
      <c r="L121">
        <v>2.56</v>
      </c>
      <c r="M121" t="s">
        <v>24</v>
      </c>
      <c r="N121" t="s">
        <v>25</v>
      </c>
      <c r="O121">
        <v>53892</v>
      </c>
      <c r="P121">
        <v>2</v>
      </c>
      <c r="Q121" t="s">
        <v>25</v>
      </c>
      <c r="R121" t="s">
        <v>26</v>
      </c>
    </row>
    <row r="122" spans="1:18" x14ac:dyDescent="0.3">
      <c r="A122" t="s">
        <v>210</v>
      </c>
      <c r="B122" s="2">
        <v>45781</v>
      </c>
      <c r="C122" t="s">
        <v>35</v>
      </c>
      <c r="D122" t="s">
        <v>40</v>
      </c>
      <c r="E122" t="s">
        <v>33</v>
      </c>
      <c r="F122">
        <v>32</v>
      </c>
      <c r="G122">
        <v>2</v>
      </c>
      <c r="H122">
        <v>1</v>
      </c>
      <c r="I122">
        <v>3</v>
      </c>
      <c r="J122" t="s">
        <v>115</v>
      </c>
      <c r="K122" t="s">
        <v>23</v>
      </c>
      <c r="L122">
        <v>3.58</v>
      </c>
      <c r="M122" t="s">
        <v>24</v>
      </c>
      <c r="N122" t="s">
        <v>25</v>
      </c>
      <c r="O122">
        <v>98890</v>
      </c>
      <c r="P122">
        <v>2</v>
      </c>
      <c r="Q122" t="s">
        <v>46</v>
      </c>
      <c r="R122" t="s">
        <v>26</v>
      </c>
    </row>
    <row r="123" spans="1:18" x14ac:dyDescent="0.3">
      <c r="A123" t="s">
        <v>211</v>
      </c>
      <c r="B123" s="2">
        <v>45968</v>
      </c>
      <c r="C123" t="s">
        <v>35</v>
      </c>
      <c r="D123" t="s">
        <v>40</v>
      </c>
      <c r="E123" t="s">
        <v>37</v>
      </c>
      <c r="F123">
        <v>38</v>
      </c>
      <c r="G123">
        <v>4</v>
      </c>
      <c r="H123">
        <v>4</v>
      </c>
      <c r="I123">
        <v>14</v>
      </c>
      <c r="J123" t="s">
        <v>22</v>
      </c>
      <c r="K123" t="s">
        <v>23</v>
      </c>
      <c r="L123">
        <v>2.42</v>
      </c>
      <c r="M123" t="s">
        <v>94</v>
      </c>
      <c r="N123" t="s">
        <v>25</v>
      </c>
      <c r="O123">
        <v>20531</v>
      </c>
      <c r="P123">
        <v>4</v>
      </c>
      <c r="Q123" t="s">
        <v>25</v>
      </c>
      <c r="R123" t="s">
        <v>26</v>
      </c>
    </row>
    <row r="124" spans="1:18" x14ac:dyDescent="0.3">
      <c r="A124" t="s">
        <v>212</v>
      </c>
      <c r="B124" s="2">
        <v>45796</v>
      </c>
      <c r="C124" t="s">
        <v>35</v>
      </c>
      <c r="D124" t="s">
        <v>121</v>
      </c>
      <c r="E124" t="s">
        <v>30</v>
      </c>
      <c r="F124">
        <v>32</v>
      </c>
      <c r="G124">
        <v>6</v>
      </c>
      <c r="H124">
        <v>0</v>
      </c>
      <c r="I124">
        <v>4</v>
      </c>
      <c r="J124" t="s">
        <v>22</v>
      </c>
      <c r="K124" t="s">
        <v>23</v>
      </c>
      <c r="M124" t="s">
        <v>24</v>
      </c>
      <c r="N124" t="s">
        <v>25</v>
      </c>
      <c r="O124">
        <v>36862</v>
      </c>
      <c r="P124">
        <v>5</v>
      </c>
      <c r="Q124" t="s">
        <v>25</v>
      </c>
      <c r="R124" t="s">
        <v>26</v>
      </c>
    </row>
    <row r="125" spans="1:18" x14ac:dyDescent="0.3">
      <c r="A125" t="s">
        <v>213</v>
      </c>
      <c r="B125" s="2">
        <v>45855</v>
      </c>
      <c r="C125" t="s">
        <v>48</v>
      </c>
      <c r="D125" t="s">
        <v>91</v>
      </c>
      <c r="E125" t="s">
        <v>30</v>
      </c>
      <c r="F125">
        <v>29</v>
      </c>
      <c r="G125">
        <v>1</v>
      </c>
      <c r="H125">
        <v>1</v>
      </c>
      <c r="I125">
        <v>5</v>
      </c>
      <c r="J125" t="s">
        <v>22</v>
      </c>
      <c r="K125" t="s">
        <v>23</v>
      </c>
      <c r="L125">
        <v>3.5</v>
      </c>
      <c r="M125" t="s">
        <v>24</v>
      </c>
      <c r="N125" t="s">
        <v>25</v>
      </c>
      <c r="O125">
        <v>77025</v>
      </c>
      <c r="P125">
        <v>2</v>
      </c>
      <c r="Q125" t="s">
        <v>25</v>
      </c>
      <c r="R125" t="s">
        <v>26</v>
      </c>
    </row>
    <row r="126" spans="1:18" x14ac:dyDescent="0.3">
      <c r="A126" t="s">
        <v>214</v>
      </c>
      <c r="B126" s="2">
        <v>45411</v>
      </c>
      <c r="C126" t="s">
        <v>35</v>
      </c>
      <c r="D126" t="s">
        <v>121</v>
      </c>
      <c r="E126" t="s">
        <v>30</v>
      </c>
      <c r="F126">
        <v>25</v>
      </c>
      <c r="G126">
        <v>5</v>
      </c>
      <c r="H126">
        <v>4</v>
      </c>
      <c r="I126">
        <v>5</v>
      </c>
      <c r="J126" t="s">
        <v>22</v>
      </c>
      <c r="K126" t="s">
        <v>23</v>
      </c>
      <c r="L126">
        <v>4.1399999999999997</v>
      </c>
      <c r="M126" t="s">
        <v>24</v>
      </c>
      <c r="N126" t="s">
        <v>25</v>
      </c>
      <c r="O126">
        <v>98635</v>
      </c>
      <c r="P126">
        <v>4</v>
      </c>
      <c r="Q126" t="s">
        <v>25</v>
      </c>
      <c r="R126" t="s">
        <v>26</v>
      </c>
    </row>
    <row r="127" spans="1:18" x14ac:dyDescent="0.3">
      <c r="A127" t="s">
        <v>215</v>
      </c>
      <c r="B127" s="2">
        <v>45614</v>
      </c>
      <c r="C127" t="s">
        <v>28</v>
      </c>
      <c r="D127" t="s">
        <v>78</v>
      </c>
      <c r="E127" t="s">
        <v>33</v>
      </c>
      <c r="F127">
        <v>26</v>
      </c>
      <c r="G127">
        <v>4</v>
      </c>
      <c r="H127">
        <v>3</v>
      </c>
      <c r="I127">
        <v>3</v>
      </c>
      <c r="J127" t="s">
        <v>38</v>
      </c>
      <c r="K127" t="s">
        <v>23</v>
      </c>
      <c r="L127">
        <v>3.03</v>
      </c>
      <c r="M127" t="s">
        <v>88</v>
      </c>
      <c r="N127" t="s">
        <v>25</v>
      </c>
      <c r="O127">
        <v>146393</v>
      </c>
      <c r="P127">
        <v>5</v>
      </c>
      <c r="Q127" t="s">
        <v>25</v>
      </c>
      <c r="R127" t="s">
        <v>26</v>
      </c>
    </row>
    <row r="128" spans="1:18" x14ac:dyDescent="0.3">
      <c r="A128" t="s">
        <v>216</v>
      </c>
      <c r="B128" s="2">
        <v>45736</v>
      </c>
      <c r="C128" t="s">
        <v>35</v>
      </c>
      <c r="D128" t="s">
        <v>36</v>
      </c>
      <c r="E128" t="s">
        <v>21</v>
      </c>
      <c r="F128">
        <v>20</v>
      </c>
      <c r="G128">
        <v>3</v>
      </c>
      <c r="H128">
        <v>1</v>
      </c>
      <c r="I128">
        <v>8</v>
      </c>
      <c r="J128" t="s">
        <v>38</v>
      </c>
      <c r="K128" t="s">
        <v>23</v>
      </c>
      <c r="L128">
        <v>3.01</v>
      </c>
      <c r="M128" t="s">
        <v>24</v>
      </c>
      <c r="N128" t="s">
        <v>25</v>
      </c>
      <c r="O128">
        <v>134327</v>
      </c>
      <c r="P128">
        <v>2</v>
      </c>
      <c r="Q128" t="s">
        <v>26</v>
      </c>
      <c r="R128" t="s">
        <v>26</v>
      </c>
    </row>
    <row r="129" spans="1:18" x14ac:dyDescent="0.3">
      <c r="A129" t="s">
        <v>217</v>
      </c>
      <c r="B129" s="2">
        <v>45656</v>
      </c>
      <c r="C129" t="s">
        <v>35</v>
      </c>
      <c r="D129" t="s">
        <v>45</v>
      </c>
      <c r="E129" t="s">
        <v>30</v>
      </c>
      <c r="F129">
        <v>20</v>
      </c>
      <c r="G129">
        <v>5</v>
      </c>
      <c r="H129">
        <v>0</v>
      </c>
      <c r="I129">
        <v>6</v>
      </c>
      <c r="J129" t="s">
        <v>22</v>
      </c>
      <c r="K129" t="s">
        <v>23</v>
      </c>
      <c r="L129">
        <v>3.14</v>
      </c>
      <c r="M129" t="s">
        <v>144</v>
      </c>
      <c r="N129" t="s">
        <v>25</v>
      </c>
      <c r="O129">
        <v>32750</v>
      </c>
      <c r="P129">
        <v>1</v>
      </c>
      <c r="Q129" t="s">
        <v>26</v>
      </c>
      <c r="R129" t="s">
        <v>26</v>
      </c>
    </row>
    <row r="130" spans="1:18" x14ac:dyDescent="0.3">
      <c r="A130" t="s">
        <v>218</v>
      </c>
      <c r="B130" s="2">
        <v>45523</v>
      </c>
      <c r="C130" t="s">
        <v>59</v>
      </c>
      <c r="D130" t="s">
        <v>219</v>
      </c>
      <c r="E130" t="s">
        <v>21</v>
      </c>
      <c r="F130">
        <v>27</v>
      </c>
      <c r="G130">
        <v>3</v>
      </c>
      <c r="H130">
        <v>2</v>
      </c>
      <c r="I130">
        <v>8</v>
      </c>
      <c r="J130" t="s">
        <v>22</v>
      </c>
      <c r="K130" t="s">
        <v>23</v>
      </c>
      <c r="L130">
        <v>2.96</v>
      </c>
      <c r="M130" t="s">
        <v>24</v>
      </c>
      <c r="N130" t="s">
        <v>25</v>
      </c>
      <c r="O130">
        <v>27421</v>
      </c>
      <c r="P130">
        <v>1</v>
      </c>
      <c r="Q130" t="s">
        <v>25</v>
      </c>
      <c r="R130" t="s">
        <v>26</v>
      </c>
    </row>
    <row r="131" spans="1:18" x14ac:dyDescent="0.3">
      <c r="A131" t="s">
        <v>220</v>
      </c>
      <c r="B131" s="2">
        <v>45930</v>
      </c>
      <c r="C131" t="s">
        <v>35</v>
      </c>
      <c r="D131" t="s">
        <v>36</v>
      </c>
      <c r="E131" t="s">
        <v>37</v>
      </c>
      <c r="F131">
        <v>27</v>
      </c>
      <c r="G131">
        <v>1</v>
      </c>
      <c r="H131">
        <v>1</v>
      </c>
      <c r="I131">
        <v>0</v>
      </c>
      <c r="J131" t="s">
        <v>22</v>
      </c>
      <c r="K131" t="s">
        <v>23</v>
      </c>
      <c r="L131">
        <v>3.07</v>
      </c>
      <c r="M131" t="s">
        <v>102</v>
      </c>
      <c r="N131" t="s">
        <v>25</v>
      </c>
      <c r="O131">
        <v>59226</v>
      </c>
      <c r="P131">
        <v>3</v>
      </c>
      <c r="Q131" t="s">
        <v>46</v>
      </c>
      <c r="R131" t="s">
        <v>25</v>
      </c>
    </row>
    <row r="132" spans="1:18" x14ac:dyDescent="0.3">
      <c r="A132" t="s">
        <v>221</v>
      </c>
      <c r="B132" s="2">
        <v>45610</v>
      </c>
      <c r="C132" t="s">
        <v>28</v>
      </c>
      <c r="D132" t="s">
        <v>70</v>
      </c>
      <c r="E132" t="s">
        <v>75</v>
      </c>
      <c r="F132">
        <v>38</v>
      </c>
      <c r="G132">
        <v>5</v>
      </c>
      <c r="H132">
        <v>5</v>
      </c>
      <c r="I132">
        <v>7</v>
      </c>
      <c r="J132" t="s">
        <v>38</v>
      </c>
      <c r="K132" t="s">
        <v>23</v>
      </c>
      <c r="L132">
        <v>2.95</v>
      </c>
      <c r="M132" t="s">
        <v>24</v>
      </c>
      <c r="N132" t="s">
        <v>25</v>
      </c>
      <c r="O132">
        <v>117336</v>
      </c>
      <c r="P132">
        <v>7</v>
      </c>
      <c r="Q132" t="s">
        <v>25</v>
      </c>
      <c r="R132" t="s">
        <v>26</v>
      </c>
    </row>
    <row r="133" spans="1:18" x14ac:dyDescent="0.3">
      <c r="A133" t="s">
        <v>222</v>
      </c>
      <c r="B133" s="2">
        <v>45325</v>
      </c>
      <c r="C133" t="s">
        <v>176</v>
      </c>
      <c r="D133" t="s">
        <v>40</v>
      </c>
      <c r="E133" t="s">
        <v>21</v>
      </c>
      <c r="F133">
        <v>29</v>
      </c>
      <c r="G133">
        <v>2</v>
      </c>
      <c r="H133">
        <v>0</v>
      </c>
      <c r="I133">
        <v>5</v>
      </c>
      <c r="J133" t="s">
        <v>22</v>
      </c>
      <c r="K133" t="s">
        <v>23</v>
      </c>
      <c r="L133">
        <v>3.09</v>
      </c>
      <c r="M133" t="s">
        <v>223</v>
      </c>
      <c r="N133" t="s">
        <v>25</v>
      </c>
      <c r="O133">
        <v>69952</v>
      </c>
      <c r="P133">
        <v>1</v>
      </c>
      <c r="Q133" t="s">
        <v>25</v>
      </c>
      <c r="R133" t="s">
        <v>26</v>
      </c>
    </row>
    <row r="134" spans="1:18" x14ac:dyDescent="0.3">
      <c r="A134" t="s">
        <v>224</v>
      </c>
      <c r="B134" s="2">
        <v>45875</v>
      </c>
      <c r="C134" t="s">
        <v>104</v>
      </c>
      <c r="D134" t="s">
        <v>78</v>
      </c>
      <c r="E134" t="s">
        <v>37</v>
      </c>
      <c r="F134">
        <v>26</v>
      </c>
      <c r="G134">
        <v>4</v>
      </c>
      <c r="H134">
        <v>3</v>
      </c>
      <c r="I134">
        <v>3</v>
      </c>
      <c r="J134" t="s">
        <v>22</v>
      </c>
      <c r="K134" t="s">
        <v>23</v>
      </c>
      <c r="L134">
        <v>3.08</v>
      </c>
      <c r="M134" t="s">
        <v>24</v>
      </c>
      <c r="N134" t="s">
        <v>25</v>
      </c>
      <c r="O134">
        <v>51414</v>
      </c>
      <c r="P134">
        <v>1</v>
      </c>
      <c r="Q134" t="s">
        <v>25</v>
      </c>
      <c r="R134" t="s">
        <v>26</v>
      </c>
    </row>
    <row r="135" spans="1:18" x14ac:dyDescent="0.3">
      <c r="A135" t="s">
        <v>225</v>
      </c>
      <c r="B135" s="2">
        <v>45728</v>
      </c>
      <c r="C135" t="s">
        <v>19</v>
      </c>
      <c r="D135" t="s">
        <v>20</v>
      </c>
      <c r="E135" t="s">
        <v>33</v>
      </c>
      <c r="F135">
        <v>29</v>
      </c>
      <c r="G135">
        <v>2</v>
      </c>
      <c r="H135">
        <v>0</v>
      </c>
      <c r="I135">
        <v>4</v>
      </c>
      <c r="J135" t="s">
        <v>38</v>
      </c>
      <c r="K135" t="s">
        <v>23</v>
      </c>
      <c r="L135">
        <v>3.93</v>
      </c>
      <c r="M135" t="s">
        <v>24</v>
      </c>
      <c r="N135" t="s">
        <v>25</v>
      </c>
      <c r="O135">
        <v>78725</v>
      </c>
      <c r="P135">
        <v>5</v>
      </c>
      <c r="Q135" t="s">
        <v>25</v>
      </c>
      <c r="R135" t="s">
        <v>26</v>
      </c>
    </row>
    <row r="136" spans="1:18" x14ac:dyDescent="0.3">
      <c r="A136" t="s">
        <v>226</v>
      </c>
      <c r="B136" s="2">
        <v>45988</v>
      </c>
      <c r="C136" t="s">
        <v>28</v>
      </c>
      <c r="D136" t="s">
        <v>29</v>
      </c>
      <c r="E136" t="s">
        <v>30</v>
      </c>
      <c r="F136">
        <v>35</v>
      </c>
      <c r="G136">
        <v>4</v>
      </c>
      <c r="H136">
        <v>2</v>
      </c>
      <c r="I136">
        <v>0</v>
      </c>
      <c r="J136" t="s">
        <v>22</v>
      </c>
      <c r="K136" t="s">
        <v>23</v>
      </c>
      <c r="L136">
        <v>2.91</v>
      </c>
      <c r="M136" t="s">
        <v>24</v>
      </c>
      <c r="N136" t="s">
        <v>25</v>
      </c>
      <c r="O136">
        <v>55713</v>
      </c>
      <c r="P136">
        <v>1</v>
      </c>
      <c r="Q136" t="s">
        <v>227</v>
      </c>
      <c r="R136" t="s">
        <v>25</v>
      </c>
    </row>
    <row r="137" spans="1:18" x14ac:dyDescent="0.3">
      <c r="A137" t="s">
        <v>228</v>
      </c>
      <c r="B137" s="2">
        <v>45503</v>
      </c>
      <c r="C137" t="s">
        <v>28</v>
      </c>
      <c r="D137" t="s">
        <v>29</v>
      </c>
      <c r="E137" t="s">
        <v>75</v>
      </c>
      <c r="F137">
        <v>25</v>
      </c>
      <c r="G137">
        <v>5</v>
      </c>
      <c r="H137">
        <v>5</v>
      </c>
      <c r="I137">
        <v>2</v>
      </c>
      <c r="J137" t="s">
        <v>22</v>
      </c>
      <c r="K137" t="s">
        <v>23</v>
      </c>
      <c r="L137">
        <v>4.0599999999999996</v>
      </c>
      <c r="M137" t="s">
        <v>171</v>
      </c>
      <c r="N137" t="s">
        <v>25</v>
      </c>
      <c r="O137">
        <v>88391</v>
      </c>
      <c r="P137">
        <v>3</v>
      </c>
      <c r="Q137" t="s">
        <v>26</v>
      </c>
      <c r="R137" t="s">
        <v>26</v>
      </c>
    </row>
    <row r="138" spans="1:18" x14ac:dyDescent="0.3">
      <c r="A138" t="s">
        <v>229</v>
      </c>
      <c r="B138" s="2">
        <v>45426</v>
      </c>
      <c r="C138" t="s">
        <v>52</v>
      </c>
      <c r="D138" t="s">
        <v>111</v>
      </c>
      <c r="E138" t="s">
        <v>33</v>
      </c>
      <c r="F138">
        <v>32</v>
      </c>
      <c r="G138">
        <v>7</v>
      </c>
      <c r="H138">
        <v>2</v>
      </c>
      <c r="I138">
        <v>2</v>
      </c>
      <c r="J138" t="s">
        <v>22</v>
      </c>
      <c r="K138" t="s">
        <v>23</v>
      </c>
      <c r="L138">
        <v>2.81</v>
      </c>
      <c r="M138" t="s">
        <v>24</v>
      </c>
      <c r="N138" t="s">
        <v>25</v>
      </c>
      <c r="O138">
        <v>77234</v>
      </c>
      <c r="P138">
        <v>1</v>
      </c>
      <c r="Q138" t="s">
        <v>25</v>
      </c>
      <c r="R138" t="s">
        <v>26</v>
      </c>
    </row>
    <row r="139" spans="1:18" x14ac:dyDescent="0.3">
      <c r="A139" t="s">
        <v>230</v>
      </c>
      <c r="B139" s="2">
        <v>45337</v>
      </c>
      <c r="C139" t="s">
        <v>28</v>
      </c>
      <c r="D139" t="s">
        <v>78</v>
      </c>
      <c r="E139" t="s">
        <v>33</v>
      </c>
      <c r="F139">
        <v>32</v>
      </c>
      <c r="G139">
        <v>5</v>
      </c>
      <c r="H139">
        <v>4</v>
      </c>
      <c r="I139">
        <v>4</v>
      </c>
      <c r="J139" t="s">
        <v>38</v>
      </c>
      <c r="K139" t="s">
        <v>23</v>
      </c>
      <c r="L139">
        <v>2.89</v>
      </c>
      <c r="M139" t="s">
        <v>223</v>
      </c>
      <c r="N139" t="s">
        <v>25</v>
      </c>
      <c r="O139">
        <v>162773</v>
      </c>
      <c r="P139">
        <v>4</v>
      </c>
      <c r="Q139" t="s">
        <v>25</v>
      </c>
      <c r="R139" t="s">
        <v>26</v>
      </c>
    </row>
    <row r="140" spans="1:18" x14ac:dyDescent="0.3">
      <c r="A140" t="s">
        <v>231</v>
      </c>
      <c r="B140" s="2">
        <v>45315</v>
      </c>
      <c r="C140" t="s">
        <v>19</v>
      </c>
      <c r="D140" t="s">
        <v>96</v>
      </c>
      <c r="E140" t="s">
        <v>75</v>
      </c>
      <c r="F140">
        <v>27</v>
      </c>
      <c r="G140">
        <v>1</v>
      </c>
      <c r="H140">
        <v>1</v>
      </c>
      <c r="I140">
        <v>7</v>
      </c>
      <c r="J140" t="s">
        <v>22</v>
      </c>
      <c r="K140" t="s">
        <v>23</v>
      </c>
      <c r="L140">
        <v>2.5099999999999998</v>
      </c>
      <c r="M140" t="s">
        <v>50</v>
      </c>
      <c r="N140" t="s">
        <v>25</v>
      </c>
      <c r="O140">
        <v>80398</v>
      </c>
      <c r="P140">
        <v>2</v>
      </c>
      <c r="Q140" t="s">
        <v>26</v>
      </c>
      <c r="R140" t="s">
        <v>26</v>
      </c>
    </row>
    <row r="141" spans="1:18" x14ac:dyDescent="0.3">
      <c r="A141" t="s">
        <v>232</v>
      </c>
      <c r="B141" s="2">
        <v>45897</v>
      </c>
      <c r="C141" t="s">
        <v>52</v>
      </c>
      <c r="D141" t="s">
        <v>64</v>
      </c>
      <c r="E141" t="s">
        <v>33</v>
      </c>
      <c r="F141">
        <v>27</v>
      </c>
      <c r="G141">
        <v>7</v>
      </c>
      <c r="H141">
        <v>6</v>
      </c>
      <c r="J141" t="s">
        <v>38</v>
      </c>
      <c r="K141" t="s">
        <v>23</v>
      </c>
      <c r="L141">
        <v>2.41</v>
      </c>
      <c r="M141" t="s">
        <v>102</v>
      </c>
      <c r="N141" t="s">
        <v>25</v>
      </c>
      <c r="O141">
        <v>168100</v>
      </c>
      <c r="P141">
        <v>3</v>
      </c>
      <c r="Q141" t="s">
        <v>46</v>
      </c>
      <c r="R141" t="s">
        <v>26</v>
      </c>
    </row>
    <row r="142" spans="1:18" x14ac:dyDescent="0.3">
      <c r="A142" t="s">
        <v>233</v>
      </c>
      <c r="B142" s="2">
        <v>45942</v>
      </c>
      <c r="C142" t="s">
        <v>28</v>
      </c>
      <c r="D142" t="s">
        <v>70</v>
      </c>
      <c r="E142" t="s">
        <v>21</v>
      </c>
      <c r="F142">
        <v>26</v>
      </c>
      <c r="G142">
        <v>4</v>
      </c>
      <c r="H142">
        <v>2</v>
      </c>
      <c r="I142">
        <v>7</v>
      </c>
      <c r="J142" t="s">
        <v>61</v>
      </c>
      <c r="K142" t="s">
        <v>23</v>
      </c>
      <c r="L142">
        <v>2.71</v>
      </c>
      <c r="M142" t="s">
        <v>94</v>
      </c>
      <c r="N142" t="s">
        <v>25</v>
      </c>
      <c r="O142">
        <v>109788</v>
      </c>
      <c r="P142">
        <v>1</v>
      </c>
      <c r="Q142" t="s">
        <v>26</v>
      </c>
      <c r="R142" t="s">
        <v>26</v>
      </c>
    </row>
    <row r="143" spans="1:18" x14ac:dyDescent="0.3">
      <c r="A143" t="s">
        <v>234</v>
      </c>
      <c r="B143" s="2">
        <v>45556</v>
      </c>
      <c r="C143" t="s">
        <v>104</v>
      </c>
      <c r="D143" t="s">
        <v>78</v>
      </c>
      <c r="E143" t="s">
        <v>54</v>
      </c>
      <c r="F143">
        <v>32</v>
      </c>
      <c r="G143">
        <v>7</v>
      </c>
      <c r="H143">
        <v>2</v>
      </c>
      <c r="I143">
        <v>2</v>
      </c>
      <c r="J143" t="s">
        <v>22</v>
      </c>
      <c r="K143" t="s">
        <v>42</v>
      </c>
      <c r="L143">
        <v>4.07</v>
      </c>
      <c r="M143" t="s">
        <v>50</v>
      </c>
      <c r="N143" t="s">
        <v>25</v>
      </c>
      <c r="O143">
        <v>15000</v>
      </c>
      <c r="P143">
        <v>4</v>
      </c>
      <c r="Q143" t="s">
        <v>188</v>
      </c>
      <c r="R143" t="s">
        <v>26</v>
      </c>
    </row>
    <row r="144" spans="1:18" x14ac:dyDescent="0.3">
      <c r="A144" t="s">
        <v>235</v>
      </c>
      <c r="B144" s="2">
        <v>45887</v>
      </c>
      <c r="C144" t="s">
        <v>52</v>
      </c>
      <c r="D144" t="s">
        <v>111</v>
      </c>
      <c r="E144" t="s">
        <v>33</v>
      </c>
      <c r="F144">
        <v>30</v>
      </c>
      <c r="G144">
        <v>7</v>
      </c>
      <c r="H144">
        <v>5</v>
      </c>
      <c r="I144">
        <v>4</v>
      </c>
      <c r="J144" t="s">
        <v>22</v>
      </c>
      <c r="K144" t="s">
        <v>42</v>
      </c>
      <c r="L144">
        <v>2.8</v>
      </c>
      <c r="M144" t="s">
        <v>50</v>
      </c>
      <c r="N144" t="s">
        <v>25</v>
      </c>
      <c r="O144">
        <v>74978</v>
      </c>
      <c r="P144">
        <v>1</v>
      </c>
      <c r="Q144" t="s">
        <v>25</v>
      </c>
      <c r="R144" t="s">
        <v>26</v>
      </c>
    </row>
    <row r="145" spans="1:18" x14ac:dyDescent="0.3">
      <c r="A145" t="s">
        <v>236</v>
      </c>
      <c r="B145" s="2">
        <v>45575</v>
      </c>
      <c r="C145" t="s">
        <v>28</v>
      </c>
      <c r="D145" t="s">
        <v>124</v>
      </c>
      <c r="E145" t="s">
        <v>37</v>
      </c>
      <c r="F145">
        <v>34</v>
      </c>
      <c r="G145">
        <v>7</v>
      </c>
      <c r="H145">
        <v>5</v>
      </c>
      <c r="I145">
        <v>5</v>
      </c>
      <c r="J145" t="s">
        <v>22</v>
      </c>
      <c r="K145" t="s">
        <v>23</v>
      </c>
      <c r="L145">
        <v>3.18</v>
      </c>
      <c r="M145" t="s">
        <v>24</v>
      </c>
      <c r="N145" t="s">
        <v>25</v>
      </c>
      <c r="O145">
        <v>55909</v>
      </c>
      <c r="P145">
        <v>1</v>
      </c>
      <c r="Q145" t="s">
        <v>25</v>
      </c>
      <c r="R145" t="s">
        <v>26</v>
      </c>
    </row>
    <row r="146" spans="1:18" x14ac:dyDescent="0.3">
      <c r="A146" t="s">
        <v>237</v>
      </c>
      <c r="B146" s="2">
        <v>45372</v>
      </c>
      <c r="C146" t="s">
        <v>19</v>
      </c>
      <c r="D146" t="s">
        <v>57</v>
      </c>
      <c r="E146" t="s">
        <v>30</v>
      </c>
      <c r="F146">
        <v>30</v>
      </c>
      <c r="G146">
        <v>5</v>
      </c>
      <c r="H146">
        <v>0</v>
      </c>
      <c r="I146">
        <v>1</v>
      </c>
      <c r="J146" t="s">
        <v>22</v>
      </c>
      <c r="K146" t="s">
        <v>23</v>
      </c>
      <c r="L146">
        <v>2.36</v>
      </c>
      <c r="M146" t="s">
        <v>24</v>
      </c>
      <c r="N146" t="s">
        <v>25</v>
      </c>
      <c r="O146">
        <v>83581</v>
      </c>
      <c r="P146">
        <v>2</v>
      </c>
      <c r="Q146" t="s">
        <v>25</v>
      </c>
      <c r="R146" t="s">
        <v>26</v>
      </c>
    </row>
    <row r="147" spans="1:18" x14ac:dyDescent="0.3">
      <c r="A147" t="s">
        <v>238</v>
      </c>
      <c r="B147" s="2">
        <v>45879</v>
      </c>
      <c r="C147" t="s">
        <v>19</v>
      </c>
      <c r="D147" t="s">
        <v>96</v>
      </c>
      <c r="E147" t="s">
        <v>30</v>
      </c>
      <c r="F147">
        <v>28</v>
      </c>
      <c r="G147">
        <v>4</v>
      </c>
      <c r="H147">
        <v>4</v>
      </c>
      <c r="I147">
        <v>5</v>
      </c>
      <c r="J147" t="s">
        <v>22</v>
      </c>
      <c r="K147" t="s">
        <v>23</v>
      </c>
      <c r="L147">
        <v>3.29</v>
      </c>
      <c r="M147" t="s">
        <v>102</v>
      </c>
      <c r="N147" t="s">
        <v>25</v>
      </c>
      <c r="O147">
        <v>51506</v>
      </c>
      <c r="P147">
        <v>1</v>
      </c>
      <c r="Q147" t="s">
        <v>25</v>
      </c>
      <c r="R147" t="s">
        <v>26</v>
      </c>
    </row>
    <row r="148" spans="1:18" x14ac:dyDescent="0.3">
      <c r="A148" t="s">
        <v>239</v>
      </c>
      <c r="B148" s="2">
        <v>45645</v>
      </c>
      <c r="C148" t="s">
        <v>52</v>
      </c>
      <c r="D148" t="s">
        <v>87</v>
      </c>
      <c r="E148" t="s">
        <v>30</v>
      </c>
      <c r="F148">
        <v>29</v>
      </c>
      <c r="G148">
        <v>5</v>
      </c>
      <c r="H148">
        <v>3</v>
      </c>
      <c r="I148">
        <v>3</v>
      </c>
      <c r="J148" t="s">
        <v>22</v>
      </c>
      <c r="K148" t="s">
        <v>42</v>
      </c>
      <c r="L148">
        <v>3.32</v>
      </c>
      <c r="M148" t="s">
        <v>24</v>
      </c>
      <c r="N148" t="s">
        <v>25</v>
      </c>
      <c r="O148">
        <v>22435</v>
      </c>
      <c r="P148">
        <v>3</v>
      </c>
      <c r="Q148" t="s">
        <v>25</v>
      </c>
      <c r="R148" t="s">
        <v>26</v>
      </c>
    </row>
    <row r="149" spans="1:18" x14ac:dyDescent="0.3">
      <c r="A149" t="s">
        <v>240</v>
      </c>
      <c r="B149" s="2">
        <v>45666</v>
      </c>
      <c r="C149" t="s">
        <v>19</v>
      </c>
      <c r="D149" t="s">
        <v>72</v>
      </c>
      <c r="E149" t="s">
        <v>75</v>
      </c>
      <c r="F149">
        <v>31</v>
      </c>
      <c r="G149">
        <v>1</v>
      </c>
      <c r="H149">
        <v>0</v>
      </c>
      <c r="I149">
        <v>5</v>
      </c>
      <c r="J149" t="s">
        <v>38</v>
      </c>
      <c r="K149" t="s">
        <v>55</v>
      </c>
      <c r="L149">
        <v>3.64</v>
      </c>
      <c r="M149" t="s">
        <v>99</v>
      </c>
      <c r="N149" t="s">
        <v>25</v>
      </c>
      <c r="O149">
        <v>186636</v>
      </c>
      <c r="P149">
        <v>5</v>
      </c>
      <c r="Q149" t="s">
        <v>25</v>
      </c>
      <c r="R149" t="s">
        <v>26</v>
      </c>
    </row>
    <row r="150" spans="1:18" x14ac:dyDescent="0.3">
      <c r="A150" t="s">
        <v>241</v>
      </c>
      <c r="B150" s="2">
        <v>45865</v>
      </c>
      <c r="C150" t="s">
        <v>35</v>
      </c>
      <c r="D150" t="s">
        <v>121</v>
      </c>
      <c r="E150" t="s">
        <v>30</v>
      </c>
      <c r="G150">
        <v>4</v>
      </c>
      <c r="H150">
        <v>2</v>
      </c>
      <c r="I150">
        <v>2</v>
      </c>
      <c r="J150" t="s">
        <v>22</v>
      </c>
      <c r="K150" t="s">
        <v>23</v>
      </c>
      <c r="L150">
        <v>2.76</v>
      </c>
      <c r="M150" t="s">
        <v>50</v>
      </c>
      <c r="N150" t="s">
        <v>25</v>
      </c>
      <c r="O150">
        <v>65652</v>
      </c>
      <c r="P150">
        <v>2</v>
      </c>
      <c r="Q150" t="s">
        <v>25</v>
      </c>
      <c r="R150" t="s">
        <v>26</v>
      </c>
    </row>
    <row r="151" spans="1:18" x14ac:dyDescent="0.3">
      <c r="A151" t="s">
        <v>242</v>
      </c>
      <c r="B151" s="2">
        <v>45965</v>
      </c>
      <c r="C151" t="s">
        <v>59</v>
      </c>
      <c r="D151" t="s">
        <v>49</v>
      </c>
      <c r="E151" t="s">
        <v>30</v>
      </c>
      <c r="F151">
        <v>25</v>
      </c>
      <c r="G151">
        <v>3</v>
      </c>
      <c r="H151">
        <v>1</v>
      </c>
      <c r="I151">
        <v>5</v>
      </c>
      <c r="J151" t="s">
        <v>22</v>
      </c>
      <c r="K151" t="s">
        <v>23</v>
      </c>
      <c r="L151">
        <v>2.68</v>
      </c>
      <c r="M151" t="s">
        <v>24</v>
      </c>
      <c r="N151" t="s">
        <v>25</v>
      </c>
      <c r="O151">
        <v>49712</v>
      </c>
      <c r="P151">
        <v>1</v>
      </c>
      <c r="Q151" t="s">
        <v>25</v>
      </c>
      <c r="R151" t="s">
        <v>26</v>
      </c>
    </row>
    <row r="152" spans="1:18" x14ac:dyDescent="0.3">
      <c r="A152" t="s">
        <v>90</v>
      </c>
      <c r="B152" s="2">
        <v>45863</v>
      </c>
      <c r="C152" t="s">
        <v>59</v>
      </c>
      <c r="D152" t="s">
        <v>91</v>
      </c>
      <c r="E152" t="s">
        <v>30</v>
      </c>
      <c r="F152">
        <v>32</v>
      </c>
      <c r="G152">
        <v>4</v>
      </c>
      <c r="H152">
        <v>2</v>
      </c>
      <c r="I152">
        <v>3</v>
      </c>
      <c r="J152" t="s">
        <v>38</v>
      </c>
      <c r="K152" t="s">
        <v>23</v>
      </c>
      <c r="L152">
        <v>3.87</v>
      </c>
      <c r="M152" t="s">
        <v>24</v>
      </c>
      <c r="N152" t="s">
        <v>25</v>
      </c>
      <c r="O152">
        <v>109953</v>
      </c>
      <c r="P152">
        <v>4</v>
      </c>
      <c r="Q152" t="s">
        <v>25</v>
      </c>
      <c r="R152" t="s">
        <v>26</v>
      </c>
    </row>
  </sheetData>
  <autoFilter ref="A1:R152" xr:uid="{00000000-0009-0000-0000-000000000000}"/>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757B79-D665-4698-AFFF-7A5678934492}">
  <dimension ref="A1:O151"/>
  <sheetViews>
    <sheetView topLeftCell="C43" workbookViewId="0">
      <selection activeCell="O59" sqref="O59"/>
    </sheetView>
  </sheetViews>
  <sheetFormatPr defaultRowHeight="14.4" x14ac:dyDescent="0.3"/>
  <cols>
    <col min="14" max="14" width="11.21875" customWidth="1"/>
  </cols>
  <sheetData>
    <row r="1" spans="1:15" ht="23.4" x14ac:dyDescent="0.3">
      <c r="A1" s="3" t="s">
        <v>243</v>
      </c>
      <c r="O1" s="10" t="s">
        <v>320</v>
      </c>
    </row>
    <row r="3" spans="1:15" x14ac:dyDescent="0.3">
      <c r="A3" t="s">
        <v>244</v>
      </c>
      <c r="O3" t="s">
        <v>321</v>
      </c>
    </row>
    <row r="4" spans="1:15" x14ac:dyDescent="0.3">
      <c r="A4" s="4"/>
      <c r="O4" s="4"/>
    </row>
    <row r="5" spans="1:15" x14ac:dyDescent="0.3">
      <c r="A5" s="4" t="s">
        <v>245</v>
      </c>
      <c r="O5" s="7" t="s">
        <v>322</v>
      </c>
    </row>
    <row r="6" spans="1:15" x14ac:dyDescent="0.3">
      <c r="A6" s="4" t="s">
        <v>246</v>
      </c>
      <c r="O6" s="7" t="s">
        <v>323</v>
      </c>
    </row>
    <row r="7" spans="1:15" x14ac:dyDescent="0.3">
      <c r="A7" s="4" t="s">
        <v>247</v>
      </c>
      <c r="O7" s="7" t="s">
        <v>324</v>
      </c>
    </row>
    <row r="8" spans="1:15" x14ac:dyDescent="0.3">
      <c r="A8" s="4" t="s">
        <v>248</v>
      </c>
      <c r="O8" s="7" t="s">
        <v>325</v>
      </c>
    </row>
    <row r="9" spans="1:15" x14ac:dyDescent="0.3">
      <c r="A9" s="4" t="s">
        <v>249</v>
      </c>
      <c r="O9" s="7" t="s">
        <v>326</v>
      </c>
    </row>
    <row r="10" spans="1:15" x14ac:dyDescent="0.3">
      <c r="A10" s="4" t="s">
        <v>250</v>
      </c>
      <c r="O10" s="7" t="s">
        <v>327</v>
      </c>
    </row>
    <row r="11" spans="1:15" x14ac:dyDescent="0.3">
      <c r="O11" s="7" t="s">
        <v>328</v>
      </c>
    </row>
    <row r="12" spans="1:15" ht="15.6" x14ac:dyDescent="0.3">
      <c r="A12" s="3" t="s">
        <v>251</v>
      </c>
      <c r="O12" s="7" t="s">
        <v>329</v>
      </c>
    </row>
    <row r="13" spans="1:15" x14ac:dyDescent="0.3">
      <c r="O13" s="7" t="s">
        <v>330</v>
      </c>
    </row>
    <row r="14" spans="1:15" x14ac:dyDescent="0.3">
      <c r="A14" t="s">
        <v>252</v>
      </c>
      <c r="O14" s="7" t="s">
        <v>331</v>
      </c>
    </row>
    <row r="16" spans="1:15" x14ac:dyDescent="0.3">
      <c r="A16" t="s">
        <v>253</v>
      </c>
    </row>
    <row r="17" spans="1:15" x14ac:dyDescent="0.3">
      <c r="A17" s="4"/>
    </row>
    <row r="18" spans="1:15" ht="31.2" x14ac:dyDescent="0.3">
      <c r="A18" s="4" t="s">
        <v>254</v>
      </c>
      <c r="O18" s="11" t="s">
        <v>332</v>
      </c>
    </row>
    <row r="19" spans="1:15" x14ac:dyDescent="0.3">
      <c r="A19" s="4" t="s">
        <v>255</v>
      </c>
    </row>
    <row r="20" spans="1:15" x14ac:dyDescent="0.3">
      <c r="A20" s="4" t="s">
        <v>256</v>
      </c>
      <c r="O20" t="s">
        <v>333</v>
      </c>
    </row>
    <row r="21" spans="1:15" x14ac:dyDescent="0.3">
      <c r="A21" s="4" t="s">
        <v>257</v>
      </c>
      <c r="O21" s="4"/>
    </row>
    <row r="22" spans="1:15" x14ac:dyDescent="0.3">
      <c r="A22" s="4" t="s">
        <v>258</v>
      </c>
      <c r="O22" s="7" t="s">
        <v>334</v>
      </c>
    </row>
    <row r="23" spans="1:15" x14ac:dyDescent="0.3">
      <c r="A23" s="4" t="s">
        <v>259</v>
      </c>
      <c r="O23" s="7" t="s">
        <v>335</v>
      </c>
    </row>
    <row r="24" spans="1:15" x14ac:dyDescent="0.3">
      <c r="A24" s="4" t="s">
        <v>260</v>
      </c>
      <c r="O24" s="7" t="s">
        <v>336</v>
      </c>
    </row>
    <row r="25" spans="1:15" x14ac:dyDescent="0.3">
      <c r="A25" s="4" t="s">
        <v>261</v>
      </c>
      <c r="O25" s="7" t="s">
        <v>337</v>
      </c>
    </row>
    <row r="26" spans="1:15" x14ac:dyDescent="0.3">
      <c r="A26" s="4" t="s">
        <v>262</v>
      </c>
      <c r="O26" s="7" t="s">
        <v>338</v>
      </c>
    </row>
    <row r="27" spans="1:15" x14ac:dyDescent="0.3">
      <c r="O27" s="7" t="s">
        <v>339</v>
      </c>
    </row>
    <row r="28" spans="1:15" x14ac:dyDescent="0.3">
      <c r="A28" s="5" t="s">
        <v>263</v>
      </c>
      <c r="O28" s="7" t="s">
        <v>340</v>
      </c>
    </row>
    <row r="29" spans="1:15" x14ac:dyDescent="0.3">
      <c r="O29" s="7" t="s">
        <v>341</v>
      </c>
    </row>
    <row r="30" spans="1:15" ht="15.6" x14ac:dyDescent="0.3">
      <c r="A30" s="3" t="s">
        <v>264</v>
      </c>
      <c r="O30" s="7" t="s">
        <v>342</v>
      </c>
    </row>
    <row r="31" spans="1:15" x14ac:dyDescent="0.3">
      <c r="O31" s="7" t="s">
        <v>343</v>
      </c>
    </row>
    <row r="32" spans="1:15" x14ac:dyDescent="0.3">
      <c r="A32" t="s">
        <v>265</v>
      </c>
    </row>
    <row r="34" spans="1:15" x14ac:dyDescent="0.3">
      <c r="A34" t="s">
        <v>266</v>
      </c>
    </row>
    <row r="35" spans="1:15" ht="31.2" x14ac:dyDescent="0.3">
      <c r="A35" s="4"/>
      <c r="O35" s="11" t="s">
        <v>344</v>
      </c>
    </row>
    <row r="36" spans="1:15" x14ac:dyDescent="0.3">
      <c r="A36" s="4" t="s">
        <v>267</v>
      </c>
    </row>
    <row r="37" spans="1:15" x14ac:dyDescent="0.3">
      <c r="A37" s="4" t="s">
        <v>268</v>
      </c>
      <c r="O37" t="s">
        <v>345</v>
      </c>
    </row>
    <row r="38" spans="1:15" x14ac:dyDescent="0.3">
      <c r="A38" s="4" t="s">
        <v>269</v>
      </c>
    </row>
    <row r="39" spans="1:15" x14ac:dyDescent="0.3">
      <c r="A39" s="4" t="s">
        <v>270</v>
      </c>
      <c r="O39" t="s">
        <v>346</v>
      </c>
    </row>
    <row r="40" spans="1:15" x14ac:dyDescent="0.3">
      <c r="A40" s="4" t="s">
        <v>271</v>
      </c>
      <c r="O40" s="4"/>
    </row>
    <row r="41" spans="1:15" x14ac:dyDescent="0.3">
      <c r="O41" s="7" t="s">
        <v>347</v>
      </c>
    </row>
    <row r="42" spans="1:15" x14ac:dyDescent="0.3">
      <c r="A42" s="5" t="s">
        <v>272</v>
      </c>
      <c r="O42" s="7" t="s">
        <v>348</v>
      </c>
    </row>
    <row r="43" spans="1:15" x14ac:dyDescent="0.3">
      <c r="O43" s="7" t="s">
        <v>349</v>
      </c>
    </row>
    <row r="44" spans="1:15" ht="15.6" x14ac:dyDescent="0.3">
      <c r="A44" s="3" t="s">
        <v>273</v>
      </c>
      <c r="O44" s="7" t="s">
        <v>350</v>
      </c>
    </row>
    <row r="45" spans="1:15" x14ac:dyDescent="0.3">
      <c r="O45" s="7" t="s">
        <v>351</v>
      </c>
    </row>
    <row r="46" spans="1:15" x14ac:dyDescent="0.3">
      <c r="A46" t="s">
        <v>274</v>
      </c>
      <c r="O46" s="7" t="s">
        <v>352</v>
      </c>
    </row>
    <row r="47" spans="1:15" x14ac:dyDescent="0.3">
      <c r="O47" s="7" t="s">
        <v>353</v>
      </c>
    </row>
    <row r="48" spans="1:15" x14ac:dyDescent="0.3">
      <c r="A48" t="s">
        <v>275</v>
      </c>
      <c r="O48" s="7" t="s">
        <v>354</v>
      </c>
    </row>
    <row r="49" spans="1:15" x14ac:dyDescent="0.3">
      <c r="A49" s="4"/>
      <c r="O49" s="7" t="s">
        <v>355</v>
      </c>
    </row>
    <row r="50" spans="1:15" x14ac:dyDescent="0.3">
      <c r="A50" s="4" t="s">
        <v>276</v>
      </c>
      <c r="O50" s="7" t="s">
        <v>356</v>
      </c>
    </row>
    <row r="51" spans="1:15" x14ac:dyDescent="0.3">
      <c r="A51" s="4" t="s">
        <v>277</v>
      </c>
    </row>
    <row r="52" spans="1:15" x14ac:dyDescent="0.3">
      <c r="A52" s="4" t="s">
        <v>278</v>
      </c>
    </row>
    <row r="53" spans="1:15" x14ac:dyDescent="0.3">
      <c r="A53" s="4" t="s">
        <v>279</v>
      </c>
    </row>
    <row r="54" spans="1:15" ht="31.2" x14ac:dyDescent="0.3">
      <c r="A54" s="4" t="s">
        <v>280</v>
      </c>
      <c r="O54" s="11" t="s">
        <v>357</v>
      </c>
    </row>
    <row r="55" spans="1:15" x14ac:dyDescent="0.3">
      <c r="A55" s="4" t="s">
        <v>281</v>
      </c>
    </row>
    <row r="56" spans="1:15" x14ac:dyDescent="0.3">
      <c r="A56" s="4" t="s">
        <v>282</v>
      </c>
      <c r="O56" t="s">
        <v>358</v>
      </c>
    </row>
    <row r="57" spans="1:15" x14ac:dyDescent="0.3">
      <c r="A57" s="4" t="s">
        <v>283</v>
      </c>
      <c r="O57" s="4"/>
    </row>
    <row r="58" spans="1:15" x14ac:dyDescent="0.3">
      <c r="A58" s="4" t="s">
        <v>284</v>
      </c>
      <c r="O58" s="7" t="s">
        <v>359</v>
      </c>
    </row>
    <row r="59" spans="1:15" x14ac:dyDescent="0.3">
      <c r="A59" s="4" t="s">
        <v>285</v>
      </c>
      <c r="O59" s="7" t="s">
        <v>360</v>
      </c>
    </row>
    <row r="60" spans="1:15" x14ac:dyDescent="0.3">
      <c r="A60" s="4" t="s">
        <v>286</v>
      </c>
      <c r="O60" s="7" t="s">
        <v>361</v>
      </c>
    </row>
    <row r="61" spans="1:15" x14ac:dyDescent="0.3">
      <c r="O61" s="7" t="s">
        <v>362</v>
      </c>
    </row>
    <row r="62" spans="1:15" ht="15.6" x14ac:dyDescent="0.3">
      <c r="A62" s="3" t="s">
        <v>287</v>
      </c>
      <c r="O62" s="7" t="s">
        <v>363</v>
      </c>
    </row>
    <row r="63" spans="1:15" x14ac:dyDescent="0.3">
      <c r="O63" s="7" t="s">
        <v>364</v>
      </c>
    </row>
    <row r="64" spans="1:15" x14ac:dyDescent="0.3">
      <c r="A64" t="s">
        <v>288</v>
      </c>
      <c r="O64" s="7" t="s">
        <v>365</v>
      </c>
    </row>
    <row r="65" spans="1:15" x14ac:dyDescent="0.3">
      <c r="O65" s="7" t="s">
        <v>366</v>
      </c>
    </row>
    <row r="66" spans="1:15" x14ac:dyDescent="0.3">
      <c r="A66" t="s">
        <v>289</v>
      </c>
      <c r="O66" s="7" t="s">
        <v>367</v>
      </c>
    </row>
    <row r="67" spans="1:15" x14ac:dyDescent="0.3">
      <c r="O67" s="7" t="s">
        <v>368</v>
      </c>
    </row>
    <row r="68" spans="1:15" x14ac:dyDescent="0.3">
      <c r="A68" s="5" t="s">
        <v>290</v>
      </c>
    </row>
    <row r="70" spans="1:15" x14ac:dyDescent="0.3">
      <c r="A70" t="s">
        <v>291</v>
      </c>
    </row>
    <row r="71" spans="1:15" ht="31.2" x14ac:dyDescent="0.3">
      <c r="O71" s="11" t="s">
        <v>369</v>
      </c>
    </row>
    <row r="72" spans="1:15" ht="15.6" x14ac:dyDescent="0.3">
      <c r="A72" s="3" t="s">
        <v>292</v>
      </c>
    </row>
    <row r="73" spans="1:15" x14ac:dyDescent="0.3">
      <c r="O73" t="s">
        <v>370</v>
      </c>
    </row>
    <row r="74" spans="1:15" x14ac:dyDescent="0.3">
      <c r="A74" t="s">
        <v>293</v>
      </c>
    </row>
    <row r="75" spans="1:15" x14ac:dyDescent="0.3">
      <c r="O75" t="s">
        <v>371</v>
      </c>
    </row>
    <row r="76" spans="1:15" x14ac:dyDescent="0.3">
      <c r="A76" t="s">
        <v>294</v>
      </c>
    </row>
    <row r="77" spans="1:15" x14ac:dyDescent="0.3">
      <c r="O77" t="s">
        <v>372</v>
      </c>
    </row>
    <row r="78" spans="1:15" x14ac:dyDescent="0.3">
      <c r="A78" t="s">
        <v>295</v>
      </c>
      <c r="O78" s="4"/>
    </row>
    <row r="79" spans="1:15" x14ac:dyDescent="0.3">
      <c r="A79" s="4"/>
      <c r="O79" s="7" t="s">
        <v>373</v>
      </c>
    </row>
    <row r="80" spans="1:15" x14ac:dyDescent="0.3">
      <c r="A80" s="4" t="s">
        <v>296</v>
      </c>
    </row>
    <row r="81" spans="1:15" x14ac:dyDescent="0.3">
      <c r="O81" t="s">
        <v>374</v>
      </c>
    </row>
    <row r="82" spans="1:15" x14ac:dyDescent="0.3">
      <c r="A82" t="s">
        <v>297</v>
      </c>
    </row>
    <row r="83" spans="1:15" x14ac:dyDescent="0.3">
      <c r="A83" s="4"/>
      <c r="O83" t="s">
        <v>375</v>
      </c>
    </row>
    <row r="84" spans="1:15" x14ac:dyDescent="0.3">
      <c r="A84" s="4" t="s">
        <v>298</v>
      </c>
      <c r="O84" s="4"/>
    </row>
    <row r="85" spans="1:15" x14ac:dyDescent="0.3">
      <c r="O85" s="4" t="s">
        <v>376</v>
      </c>
    </row>
    <row r="86" spans="1:15" x14ac:dyDescent="0.3">
      <c r="A86" t="s">
        <v>299</v>
      </c>
    </row>
    <row r="87" spans="1:15" x14ac:dyDescent="0.3">
      <c r="O87" t="s">
        <v>377</v>
      </c>
    </row>
    <row r="88" spans="1:15" x14ac:dyDescent="0.3">
      <c r="A88" s="5" t="s">
        <v>300</v>
      </c>
    </row>
    <row r="89" spans="1:15" x14ac:dyDescent="0.3">
      <c r="O89" t="s">
        <v>378</v>
      </c>
    </row>
    <row r="90" spans="1:15" x14ac:dyDescent="0.3">
      <c r="A90" t="s">
        <v>301</v>
      </c>
      <c r="O90" s="4"/>
    </row>
    <row r="91" spans="1:15" x14ac:dyDescent="0.3">
      <c r="O91" s="4" t="s">
        <v>379</v>
      </c>
    </row>
    <row r="93" spans="1:15" x14ac:dyDescent="0.3">
      <c r="O93" t="s">
        <v>380</v>
      </c>
    </row>
    <row r="94" spans="1:15" ht="18" x14ac:dyDescent="0.3">
      <c r="A94" s="6" t="s">
        <v>302</v>
      </c>
      <c r="O94" s="4"/>
    </row>
    <row r="95" spans="1:15" x14ac:dyDescent="0.3">
      <c r="O95" s="7" t="s">
        <v>381</v>
      </c>
    </row>
    <row r="96" spans="1:15" x14ac:dyDescent="0.3">
      <c r="A96" s="5" t="s">
        <v>303</v>
      </c>
    </row>
    <row r="98" spans="1:15" x14ac:dyDescent="0.3">
      <c r="A98" t="s">
        <v>304</v>
      </c>
    </row>
    <row r="99" spans="1:15" ht="23.4" x14ac:dyDescent="0.3">
      <c r="O99" s="10" t="s">
        <v>382</v>
      </c>
    </row>
    <row r="100" spans="1:15" x14ac:dyDescent="0.3">
      <c r="A100" t="s">
        <v>305</v>
      </c>
    </row>
    <row r="101" spans="1:15" x14ac:dyDescent="0.3">
      <c r="A101" s="4"/>
      <c r="O101" t="s">
        <v>383</v>
      </c>
    </row>
    <row r="102" spans="1:15" x14ac:dyDescent="0.3">
      <c r="A102" s="7" t="s">
        <v>306</v>
      </c>
    </row>
    <row r="103" spans="1:15" x14ac:dyDescent="0.3">
      <c r="O103" t="s">
        <v>384</v>
      </c>
    </row>
    <row r="104" spans="1:15" x14ac:dyDescent="0.3">
      <c r="A104" t="s">
        <v>307</v>
      </c>
    </row>
    <row r="105" spans="1:15" x14ac:dyDescent="0.3">
      <c r="O105" t="s">
        <v>275</v>
      </c>
    </row>
    <row r="106" spans="1:15" x14ac:dyDescent="0.3">
      <c r="A106" t="s">
        <v>308</v>
      </c>
    </row>
    <row r="107" spans="1:15" x14ac:dyDescent="0.3">
      <c r="O107" s="5" t="s">
        <v>385</v>
      </c>
    </row>
    <row r="108" spans="1:15" x14ac:dyDescent="0.3">
      <c r="A108" s="5" t="s">
        <v>309</v>
      </c>
      <c r="O108" s="4"/>
    </row>
    <row r="109" spans="1:15" x14ac:dyDescent="0.3">
      <c r="A109" s="5" t="s">
        <v>310</v>
      </c>
      <c r="O109" s="4" t="s">
        <v>2</v>
      </c>
    </row>
    <row r="110" spans="1:15" x14ac:dyDescent="0.3">
      <c r="A110" s="5" t="s">
        <v>311</v>
      </c>
      <c r="O110" s="4" t="s">
        <v>3</v>
      </c>
    </row>
    <row r="111" spans="1:15" x14ac:dyDescent="0.3">
      <c r="A111" s="5" t="s">
        <v>312</v>
      </c>
      <c r="O111" s="4" t="s">
        <v>4</v>
      </c>
    </row>
    <row r="112" spans="1:15" x14ac:dyDescent="0.3">
      <c r="A112" s="5" t="s">
        <v>313</v>
      </c>
    </row>
    <row r="113" spans="1:15" x14ac:dyDescent="0.3">
      <c r="A113" s="5" t="s">
        <v>314</v>
      </c>
      <c r="O113" s="5" t="s">
        <v>386</v>
      </c>
    </row>
    <row r="114" spans="1:15" x14ac:dyDescent="0.3">
      <c r="A114" s="5" t="s">
        <v>315</v>
      </c>
      <c r="O114" s="4"/>
    </row>
    <row r="115" spans="1:15" x14ac:dyDescent="0.3">
      <c r="O115" s="4" t="s">
        <v>387</v>
      </c>
    </row>
    <row r="116" spans="1:15" x14ac:dyDescent="0.3">
      <c r="A116" t="s">
        <v>316</v>
      </c>
      <c r="O116" s="4" t="s">
        <v>2</v>
      </c>
    </row>
    <row r="117" spans="1:15" x14ac:dyDescent="0.3">
      <c r="O117" s="4" t="s">
        <v>4</v>
      </c>
    </row>
    <row r="118" spans="1:15" x14ac:dyDescent="0.3">
      <c r="A118" t="s">
        <v>317</v>
      </c>
    </row>
    <row r="119" spans="1:15" x14ac:dyDescent="0.3">
      <c r="O119" s="5" t="s">
        <v>388</v>
      </c>
    </row>
    <row r="120" spans="1:15" x14ac:dyDescent="0.3">
      <c r="A120" t="s">
        <v>318</v>
      </c>
      <c r="O120" s="4"/>
    </row>
    <row r="121" spans="1:15" x14ac:dyDescent="0.3">
      <c r="A121" t="s">
        <v>319</v>
      </c>
      <c r="O121" s="4" t="s">
        <v>389</v>
      </c>
    </row>
    <row r="122" spans="1:15" x14ac:dyDescent="0.3">
      <c r="O122" s="4" t="s">
        <v>2</v>
      </c>
    </row>
    <row r="123" spans="1:15" x14ac:dyDescent="0.3">
      <c r="O123" s="4" t="s">
        <v>4</v>
      </c>
    </row>
    <row r="125" spans="1:15" x14ac:dyDescent="0.3">
      <c r="O125" s="5" t="s">
        <v>390</v>
      </c>
    </row>
    <row r="126" spans="1:15" x14ac:dyDescent="0.3">
      <c r="O126" s="4"/>
    </row>
    <row r="127" spans="1:15" x14ac:dyDescent="0.3">
      <c r="O127" s="4" t="s">
        <v>391</v>
      </c>
    </row>
    <row r="128" spans="1:15" x14ac:dyDescent="0.3">
      <c r="O128" s="4" t="s">
        <v>2</v>
      </c>
    </row>
    <row r="129" spans="15:15" x14ac:dyDescent="0.3">
      <c r="O129" s="4" t="s">
        <v>387</v>
      </c>
    </row>
    <row r="131" spans="15:15" x14ac:dyDescent="0.3">
      <c r="O131" s="5" t="s">
        <v>392</v>
      </c>
    </row>
    <row r="132" spans="15:15" x14ac:dyDescent="0.3">
      <c r="O132" s="4"/>
    </row>
    <row r="133" spans="15:15" x14ac:dyDescent="0.3">
      <c r="O133" s="4" t="s">
        <v>387</v>
      </c>
    </row>
    <row r="134" spans="15:15" x14ac:dyDescent="0.3">
      <c r="O134" s="4" t="s">
        <v>393</v>
      </c>
    </row>
    <row r="135" spans="15:15" x14ac:dyDescent="0.3">
      <c r="O135" s="4" t="s">
        <v>394</v>
      </c>
    </row>
    <row r="137" spans="15:15" x14ac:dyDescent="0.3">
      <c r="O137" s="5" t="s">
        <v>395</v>
      </c>
    </row>
    <row r="138" spans="15:15" x14ac:dyDescent="0.3">
      <c r="O138" s="4"/>
    </row>
    <row r="139" spans="15:15" x14ac:dyDescent="0.3">
      <c r="O139" s="4" t="s">
        <v>2</v>
      </c>
    </row>
    <row r="140" spans="15:15" x14ac:dyDescent="0.3">
      <c r="O140" s="4" t="s">
        <v>396</v>
      </c>
    </row>
    <row r="141" spans="15:15" x14ac:dyDescent="0.3">
      <c r="O141" s="4" t="s">
        <v>16</v>
      </c>
    </row>
    <row r="143" spans="15:15" x14ac:dyDescent="0.3">
      <c r="O143" t="s">
        <v>397</v>
      </c>
    </row>
    <row r="145" spans="15:15" ht="18" x14ac:dyDescent="0.3">
      <c r="O145" s="6" t="s">
        <v>398</v>
      </c>
    </row>
    <row r="147" spans="15:15" x14ac:dyDescent="0.3">
      <c r="O147" s="5" t="s">
        <v>399</v>
      </c>
    </row>
    <row r="149" spans="15:15" x14ac:dyDescent="0.3">
      <c r="O149" t="s">
        <v>400</v>
      </c>
    </row>
    <row r="151" spans="15:15" x14ac:dyDescent="0.3">
      <c r="O151" t="s">
        <v>401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070A96-12A8-4B9F-A30F-AEF4DA11FC7C}">
  <dimension ref="A1:S152"/>
  <sheetViews>
    <sheetView zoomScale="86" zoomScaleNormal="86" workbookViewId="0">
      <pane ySplit="1" topLeftCell="A2" activePane="bottomLeft" state="frozen"/>
      <selection pane="bottomLeft" activeCell="F1" sqref="F1"/>
    </sheetView>
  </sheetViews>
  <sheetFormatPr defaultRowHeight="14.4" x14ac:dyDescent="0.3"/>
  <cols>
    <col min="1" max="1" width="12" customWidth="1"/>
    <col min="2" max="2" width="21" style="9" customWidth="1"/>
    <col min="3" max="3" width="12" customWidth="1"/>
    <col min="4" max="4" width="21" customWidth="1"/>
    <col min="5" max="5" width="24" customWidth="1"/>
    <col min="6" max="6" width="18" bestFit="1" customWidth="1"/>
    <col min="7" max="7" width="18" style="12" customWidth="1"/>
    <col min="8" max="10" width="12" customWidth="1"/>
    <col min="11" max="11" width="19" customWidth="1"/>
    <col min="12" max="12" width="16" customWidth="1"/>
    <col min="13" max="13" width="20.44140625" bestFit="1" customWidth="1"/>
    <col min="14" max="14" width="24" customWidth="1"/>
    <col min="15" max="15" width="20" bestFit="1" customWidth="1"/>
    <col min="16" max="16" width="22.88671875" bestFit="1" customWidth="1"/>
    <col min="17" max="17" width="24.88671875" bestFit="1" customWidth="1"/>
    <col min="18" max="18" width="12.44140625" bestFit="1" customWidth="1"/>
    <col min="19" max="19" width="19.33203125" bestFit="1" customWidth="1"/>
  </cols>
  <sheetData>
    <row r="1" spans="1:19" x14ac:dyDescent="0.3">
      <c r="A1" s="1" t="s">
        <v>0</v>
      </c>
      <c r="B1" s="8" t="s">
        <v>1</v>
      </c>
      <c r="C1" s="1" t="s">
        <v>2</v>
      </c>
      <c r="D1" s="1" t="s">
        <v>3</v>
      </c>
      <c r="E1" s="1" t="s">
        <v>4</v>
      </c>
      <c r="F1" s="1" t="s">
        <v>5</v>
      </c>
      <c r="G1" s="1" t="s">
        <v>402</v>
      </c>
      <c r="H1" s="1" t="s">
        <v>6</v>
      </c>
      <c r="I1" s="1" t="s">
        <v>7</v>
      </c>
      <c r="J1" s="1" t="s">
        <v>8</v>
      </c>
      <c r="K1" s="1" t="s">
        <v>404</v>
      </c>
      <c r="L1" s="1" t="s">
        <v>10</v>
      </c>
      <c r="M1" s="1" t="s">
        <v>11</v>
      </c>
      <c r="N1" s="1" t="s">
        <v>12</v>
      </c>
      <c r="O1" s="1" t="s">
        <v>13</v>
      </c>
      <c r="P1" s="1" t="s">
        <v>14</v>
      </c>
      <c r="Q1" s="1" t="s">
        <v>15</v>
      </c>
      <c r="R1" s="1" t="s">
        <v>16</v>
      </c>
      <c r="S1" s="1" t="s">
        <v>17</v>
      </c>
    </row>
    <row r="2" spans="1:19" x14ac:dyDescent="0.3">
      <c r="A2" t="s">
        <v>18</v>
      </c>
      <c r="B2" s="9">
        <v>45852</v>
      </c>
      <c r="C2" t="s">
        <v>19</v>
      </c>
      <c r="D2" t="s">
        <v>20</v>
      </c>
      <c r="E2" t="s">
        <v>21</v>
      </c>
      <c r="F2">
        <v>31</v>
      </c>
      <c r="G2" s="12" t="str">
        <f>IF(F2&lt;25,"18-24",IF(F2&lt;30,"25-29",IF(F2&lt;35,"30-34",IF(F2&lt;40,"35-40",IF(F2&lt;45,"40-45","45+")))))</f>
        <v>30-34</v>
      </c>
      <c r="H2">
        <v>6</v>
      </c>
      <c r="I2">
        <v>2</v>
      </c>
      <c r="J2">
        <v>4</v>
      </c>
      <c r="K2" t="s">
        <v>22</v>
      </c>
      <c r="L2" t="s">
        <v>23</v>
      </c>
      <c r="M2">
        <v>3.46</v>
      </c>
      <c r="N2" t="s">
        <v>24</v>
      </c>
      <c r="O2" t="s">
        <v>25</v>
      </c>
      <c r="P2">
        <v>103075</v>
      </c>
      <c r="Q2">
        <v>1</v>
      </c>
      <c r="R2" t="s">
        <v>25</v>
      </c>
      <c r="S2" t="s">
        <v>26</v>
      </c>
    </row>
    <row r="3" spans="1:19" x14ac:dyDescent="0.3">
      <c r="A3" t="s">
        <v>27</v>
      </c>
      <c r="B3" s="9">
        <v>45959</v>
      </c>
      <c r="C3" t="s">
        <v>28</v>
      </c>
      <c r="D3" t="s">
        <v>29</v>
      </c>
      <c r="E3" t="s">
        <v>30</v>
      </c>
      <c r="F3">
        <v>27</v>
      </c>
      <c r="G3" s="12" t="str">
        <f t="shared" ref="G3:G66" si="0">IF(F3&lt;25,"18-24",IF(F3&lt;30,"25-29",IF(F3&lt;35,"30-34",IF(F3&lt;40,"35-40",IF(F3&lt;45,"40-45","45+")))))</f>
        <v>25-29</v>
      </c>
      <c r="H3">
        <v>1</v>
      </c>
      <c r="I3">
        <v>0</v>
      </c>
      <c r="J3">
        <v>8</v>
      </c>
      <c r="K3" t="s">
        <v>22</v>
      </c>
      <c r="L3" t="s">
        <v>23</v>
      </c>
      <c r="M3">
        <v>3.52</v>
      </c>
      <c r="N3" t="s">
        <v>24</v>
      </c>
      <c r="O3" t="s">
        <v>25</v>
      </c>
      <c r="P3">
        <v>53263</v>
      </c>
      <c r="Q3">
        <v>2</v>
      </c>
      <c r="R3" t="s">
        <v>25</v>
      </c>
      <c r="S3" t="s">
        <v>26</v>
      </c>
    </row>
    <row r="4" spans="1:19" x14ac:dyDescent="0.3">
      <c r="A4" t="s">
        <v>32</v>
      </c>
      <c r="B4" s="9">
        <v>46008</v>
      </c>
      <c r="C4" t="s">
        <v>28</v>
      </c>
      <c r="D4" t="s">
        <v>29</v>
      </c>
      <c r="E4" t="s">
        <v>33</v>
      </c>
      <c r="F4">
        <v>26</v>
      </c>
      <c r="G4" s="12" t="str">
        <f t="shared" si="0"/>
        <v>25-29</v>
      </c>
      <c r="H4">
        <v>2</v>
      </c>
      <c r="I4">
        <v>1</v>
      </c>
      <c r="J4">
        <v>4</v>
      </c>
      <c r="K4" t="s">
        <v>22</v>
      </c>
      <c r="L4" t="s">
        <v>23</v>
      </c>
      <c r="M4">
        <v>3.23</v>
      </c>
      <c r="N4" t="s">
        <v>24</v>
      </c>
      <c r="O4" t="s">
        <v>25</v>
      </c>
      <c r="P4">
        <v>17167</v>
      </c>
      <c r="Q4">
        <v>1</v>
      </c>
      <c r="R4" t="s">
        <v>25</v>
      </c>
      <c r="S4" t="s">
        <v>26</v>
      </c>
    </row>
    <row r="5" spans="1:19" x14ac:dyDescent="0.3">
      <c r="A5" t="s">
        <v>34</v>
      </c>
      <c r="B5" s="9">
        <v>45646</v>
      </c>
      <c r="C5" t="s">
        <v>35</v>
      </c>
      <c r="D5" t="s">
        <v>36</v>
      </c>
      <c r="E5" t="s">
        <v>37</v>
      </c>
      <c r="F5">
        <v>26</v>
      </c>
      <c r="G5" s="12" t="str">
        <f t="shared" si="0"/>
        <v>25-29</v>
      </c>
      <c r="H5">
        <v>2</v>
      </c>
      <c r="I5">
        <v>0</v>
      </c>
      <c r="J5">
        <v>2</v>
      </c>
      <c r="K5" t="s">
        <v>38</v>
      </c>
      <c r="L5" t="s">
        <v>23</v>
      </c>
      <c r="M5">
        <v>3.27</v>
      </c>
      <c r="N5" t="s">
        <v>24</v>
      </c>
      <c r="O5" t="s">
        <v>25</v>
      </c>
      <c r="P5">
        <v>122299</v>
      </c>
      <c r="Q5">
        <v>1</v>
      </c>
      <c r="R5" t="s">
        <v>26</v>
      </c>
      <c r="S5" t="s">
        <v>26</v>
      </c>
    </row>
    <row r="6" spans="1:19" x14ac:dyDescent="0.3">
      <c r="A6" t="s">
        <v>39</v>
      </c>
      <c r="B6" s="9">
        <v>45937</v>
      </c>
      <c r="C6" t="s">
        <v>35</v>
      </c>
      <c r="D6" t="s">
        <v>40</v>
      </c>
      <c r="E6" t="s">
        <v>37</v>
      </c>
      <c r="F6">
        <v>36</v>
      </c>
      <c r="G6" s="12" t="str">
        <f t="shared" si="0"/>
        <v>35-40</v>
      </c>
      <c r="H6">
        <v>6</v>
      </c>
      <c r="I6">
        <v>3</v>
      </c>
      <c r="J6">
        <v>4</v>
      </c>
      <c r="K6" t="s">
        <v>22</v>
      </c>
      <c r="L6" t="s">
        <v>42</v>
      </c>
      <c r="M6">
        <v>3.14</v>
      </c>
      <c r="N6" t="s">
        <v>94</v>
      </c>
      <c r="O6" t="s">
        <v>25</v>
      </c>
      <c r="P6">
        <v>29381</v>
      </c>
      <c r="Q6">
        <v>1</v>
      </c>
      <c r="R6" t="s">
        <v>25</v>
      </c>
      <c r="S6" t="s">
        <v>26</v>
      </c>
    </row>
    <row r="7" spans="1:19" x14ac:dyDescent="0.3">
      <c r="A7" t="s">
        <v>44</v>
      </c>
      <c r="B7" s="9">
        <v>45532</v>
      </c>
      <c r="C7" t="s">
        <v>35</v>
      </c>
      <c r="D7" t="s">
        <v>45</v>
      </c>
      <c r="E7" t="s">
        <v>21</v>
      </c>
      <c r="F7">
        <v>29</v>
      </c>
      <c r="G7" s="12" t="str">
        <f t="shared" si="0"/>
        <v>25-29</v>
      </c>
      <c r="H7">
        <v>6</v>
      </c>
      <c r="I7">
        <v>0</v>
      </c>
      <c r="J7">
        <v>2</v>
      </c>
      <c r="K7" t="s">
        <v>22</v>
      </c>
      <c r="L7" t="s">
        <v>23</v>
      </c>
      <c r="M7">
        <v>3.31</v>
      </c>
      <c r="N7" t="s">
        <v>24</v>
      </c>
      <c r="O7" t="s">
        <v>25</v>
      </c>
      <c r="P7">
        <v>49984</v>
      </c>
      <c r="Q7">
        <v>1</v>
      </c>
      <c r="R7" t="s">
        <v>46</v>
      </c>
      <c r="S7" t="s">
        <v>26</v>
      </c>
    </row>
    <row r="8" spans="1:19" x14ac:dyDescent="0.3">
      <c r="A8" t="s">
        <v>47</v>
      </c>
      <c r="B8" s="9">
        <v>45367</v>
      </c>
      <c r="C8" t="s">
        <v>59</v>
      </c>
      <c r="D8" t="s">
        <v>49</v>
      </c>
      <c r="E8" t="s">
        <v>37</v>
      </c>
      <c r="F8">
        <v>25</v>
      </c>
      <c r="G8" s="12" t="str">
        <f t="shared" si="0"/>
        <v>25-29</v>
      </c>
      <c r="H8">
        <v>4</v>
      </c>
      <c r="I8">
        <v>2</v>
      </c>
      <c r="J8">
        <v>8</v>
      </c>
      <c r="K8" t="s">
        <v>22</v>
      </c>
      <c r="L8" t="s">
        <v>23</v>
      </c>
      <c r="M8">
        <v>3.09</v>
      </c>
      <c r="N8" t="s">
        <v>50</v>
      </c>
      <c r="O8" t="s">
        <v>25</v>
      </c>
      <c r="P8">
        <v>38557</v>
      </c>
      <c r="Q8">
        <v>3</v>
      </c>
      <c r="R8" t="s">
        <v>25</v>
      </c>
      <c r="S8" t="s">
        <v>26</v>
      </c>
    </row>
    <row r="9" spans="1:19" x14ac:dyDescent="0.3">
      <c r="A9" t="s">
        <v>51</v>
      </c>
      <c r="B9" s="9">
        <v>45351</v>
      </c>
      <c r="C9" t="s">
        <v>52</v>
      </c>
      <c r="D9" t="s">
        <v>111</v>
      </c>
      <c r="E9" t="s">
        <v>54</v>
      </c>
      <c r="F9">
        <v>22</v>
      </c>
      <c r="G9" s="12" t="str">
        <f t="shared" si="0"/>
        <v>18-24</v>
      </c>
      <c r="H9">
        <v>2</v>
      </c>
      <c r="I9">
        <v>1</v>
      </c>
      <c r="J9">
        <v>5</v>
      </c>
      <c r="K9" t="s">
        <v>22</v>
      </c>
      <c r="L9" t="s">
        <v>55</v>
      </c>
      <c r="M9">
        <v>2.02</v>
      </c>
      <c r="N9" t="s">
        <v>50</v>
      </c>
      <c r="O9" t="s">
        <v>25</v>
      </c>
      <c r="P9">
        <v>31795</v>
      </c>
      <c r="Q9">
        <v>2</v>
      </c>
      <c r="R9" t="s">
        <v>25</v>
      </c>
      <c r="S9" t="s">
        <v>26</v>
      </c>
    </row>
    <row r="10" spans="1:19" x14ac:dyDescent="0.3">
      <c r="A10" t="s">
        <v>56</v>
      </c>
      <c r="B10" s="9">
        <v>45511</v>
      </c>
      <c r="C10" t="s">
        <v>19</v>
      </c>
      <c r="D10" t="s">
        <v>57</v>
      </c>
      <c r="E10" t="s">
        <v>30</v>
      </c>
      <c r="F10">
        <v>32</v>
      </c>
      <c r="G10" s="12" t="str">
        <f t="shared" si="0"/>
        <v>30-34</v>
      </c>
      <c r="H10">
        <v>4</v>
      </c>
      <c r="I10">
        <v>2</v>
      </c>
      <c r="J10">
        <v>5</v>
      </c>
      <c r="K10" t="s">
        <v>22</v>
      </c>
      <c r="L10" t="s">
        <v>23</v>
      </c>
      <c r="M10">
        <v>3.04</v>
      </c>
      <c r="N10" t="s">
        <v>24</v>
      </c>
      <c r="O10" t="s">
        <v>25</v>
      </c>
      <c r="P10">
        <v>57472</v>
      </c>
      <c r="Q10">
        <v>1</v>
      </c>
      <c r="R10" t="s">
        <v>25</v>
      </c>
      <c r="S10" t="s">
        <v>26</v>
      </c>
    </row>
    <row r="11" spans="1:19" x14ac:dyDescent="0.3">
      <c r="A11" t="s">
        <v>58</v>
      </c>
      <c r="B11" s="9">
        <v>45892</v>
      </c>
      <c r="C11" t="s">
        <v>59</v>
      </c>
      <c r="D11" t="s">
        <v>60</v>
      </c>
      <c r="E11" t="s">
        <v>33</v>
      </c>
      <c r="F11">
        <v>25</v>
      </c>
      <c r="G11" s="12" t="str">
        <f t="shared" si="0"/>
        <v>25-29</v>
      </c>
      <c r="H11">
        <v>6</v>
      </c>
      <c r="I11">
        <v>3</v>
      </c>
      <c r="J11">
        <v>4</v>
      </c>
      <c r="K11" t="s">
        <v>38</v>
      </c>
      <c r="L11" t="s">
        <v>23</v>
      </c>
      <c r="M11">
        <v>3.68</v>
      </c>
      <c r="N11" t="s">
        <v>24</v>
      </c>
      <c r="O11" t="s">
        <v>25</v>
      </c>
      <c r="P11">
        <v>73590</v>
      </c>
      <c r="Q11">
        <v>1</v>
      </c>
      <c r="R11" t="s">
        <v>25</v>
      </c>
      <c r="S11" t="s">
        <v>26</v>
      </c>
    </row>
    <row r="12" spans="1:19" x14ac:dyDescent="0.3">
      <c r="A12" t="s">
        <v>62</v>
      </c>
      <c r="B12" s="9">
        <v>45406</v>
      </c>
      <c r="C12" t="s">
        <v>28</v>
      </c>
      <c r="D12" t="s">
        <v>29</v>
      </c>
      <c r="E12" t="s">
        <v>21</v>
      </c>
      <c r="F12">
        <v>30</v>
      </c>
      <c r="G12" s="12" t="str">
        <f t="shared" si="0"/>
        <v>30-34</v>
      </c>
      <c r="H12">
        <v>3</v>
      </c>
      <c r="I12">
        <v>1</v>
      </c>
      <c r="J12">
        <v>4</v>
      </c>
      <c r="K12" t="s">
        <v>38</v>
      </c>
      <c r="L12" t="s">
        <v>23</v>
      </c>
      <c r="M12">
        <v>2.73</v>
      </c>
      <c r="N12" t="s">
        <v>24</v>
      </c>
      <c r="O12" t="s">
        <v>25</v>
      </c>
      <c r="P12">
        <v>160291</v>
      </c>
      <c r="Q12">
        <v>5</v>
      </c>
      <c r="R12" t="s">
        <v>25</v>
      </c>
      <c r="S12" t="s">
        <v>26</v>
      </c>
    </row>
    <row r="13" spans="1:19" x14ac:dyDescent="0.3">
      <c r="A13" t="s">
        <v>63</v>
      </c>
      <c r="B13" s="9">
        <v>45860</v>
      </c>
      <c r="C13" t="s">
        <v>52</v>
      </c>
      <c r="D13" t="s">
        <v>64</v>
      </c>
      <c r="E13" t="s">
        <v>21</v>
      </c>
      <c r="F13">
        <v>16</v>
      </c>
      <c r="G13" s="12" t="str">
        <f t="shared" si="0"/>
        <v>18-24</v>
      </c>
      <c r="H13">
        <v>5</v>
      </c>
      <c r="I13">
        <v>0</v>
      </c>
      <c r="K13" t="s">
        <v>22</v>
      </c>
      <c r="L13" t="s">
        <v>23</v>
      </c>
      <c r="M13">
        <v>2.93</v>
      </c>
      <c r="N13" t="s">
        <v>24</v>
      </c>
      <c r="O13" t="s">
        <v>25</v>
      </c>
      <c r="P13">
        <v>55789</v>
      </c>
      <c r="Q13">
        <v>3</v>
      </c>
      <c r="R13" t="s">
        <v>65</v>
      </c>
      <c r="S13" t="s">
        <v>26</v>
      </c>
    </row>
    <row r="14" spans="1:19" x14ac:dyDescent="0.3">
      <c r="A14" t="s">
        <v>66</v>
      </c>
      <c r="B14" s="9">
        <v>45563</v>
      </c>
      <c r="C14" t="s">
        <v>19</v>
      </c>
      <c r="D14" t="s">
        <v>57</v>
      </c>
      <c r="E14" t="s">
        <v>37</v>
      </c>
      <c r="F14">
        <v>26</v>
      </c>
      <c r="G14" s="12" t="str">
        <f t="shared" si="0"/>
        <v>25-29</v>
      </c>
      <c r="H14">
        <v>7</v>
      </c>
      <c r="I14">
        <v>5</v>
      </c>
      <c r="J14">
        <v>4</v>
      </c>
      <c r="K14" t="s">
        <v>22</v>
      </c>
      <c r="L14" t="s">
        <v>23</v>
      </c>
      <c r="M14">
        <v>2.4900000000000002</v>
      </c>
      <c r="N14" t="s">
        <v>24</v>
      </c>
      <c r="O14" t="s">
        <v>25</v>
      </c>
      <c r="P14">
        <v>35094</v>
      </c>
      <c r="Q14">
        <v>3</v>
      </c>
      <c r="R14" t="s">
        <v>26</v>
      </c>
      <c r="S14" t="s">
        <v>26</v>
      </c>
    </row>
    <row r="15" spans="1:19" x14ac:dyDescent="0.3">
      <c r="A15" t="s">
        <v>67</v>
      </c>
      <c r="B15" s="9">
        <v>45459</v>
      </c>
      <c r="C15" t="s">
        <v>52</v>
      </c>
      <c r="D15" t="s">
        <v>129</v>
      </c>
      <c r="E15" t="s">
        <v>37</v>
      </c>
      <c r="F15">
        <v>35</v>
      </c>
      <c r="G15" s="12" t="str">
        <f t="shared" si="0"/>
        <v>35-40</v>
      </c>
      <c r="H15">
        <v>7</v>
      </c>
      <c r="I15">
        <v>5</v>
      </c>
      <c r="J15">
        <v>4</v>
      </c>
      <c r="K15" t="s">
        <v>22</v>
      </c>
      <c r="L15" t="s">
        <v>23</v>
      </c>
      <c r="M15">
        <v>3.65</v>
      </c>
      <c r="N15" t="s">
        <v>24</v>
      </c>
      <c r="O15" t="s">
        <v>25</v>
      </c>
      <c r="P15">
        <v>74040</v>
      </c>
      <c r="Q15">
        <v>1</v>
      </c>
      <c r="R15" t="s">
        <v>26</v>
      </c>
      <c r="S15" t="s">
        <v>26</v>
      </c>
    </row>
    <row r="16" spans="1:19" x14ac:dyDescent="0.3">
      <c r="A16" t="s">
        <v>69</v>
      </c>
      <c r="B16" s="9">
        <v>45608</v>
      </c>
      <c r="C16" t="s">
        <v>28</v>
      </c>
      <c r="D16" t="s">
        <v>70</v>
      </c>
      <c r="E16" t="s">
        <v>54</v>
      </c>
      <c r="F16">
        <v>30</v>
      </c>
      <c r="G16" s="12" t="str">
        <f t="shared" si="0"/>
        <v>30-34</v>
      </c>
      <c r="H16">
        <v>5</v>
      </c>
      <c r="I16">
        <v>2</v>
      </c>
      <c r="J16">
        <v>8</v>
      </c>
      <c r="K16" t="s">
        <v>22</v>
      </c>
      <c r="L16" t="s">
        <v>23</v>
      </c>
      <c r="M16">
        <v>3.08</v>
      </c>
      <c r="N16" t="s">
        <v>24</v>
      </c>
      <c r="O16" t="s">
        <v>25</v>
      </c>
      <c r="P16">
        <v>104116</v>
      </c>
      <c r="Q16">
        <v>1</v>
      </c>
      <c r="R16" t="s">
        <v>25</v>
      </c>
      <c r="S16" t="s">
        <v>26</v>
      </c>
    </row>
    <row r="17" spans="1:19" x14ac:dyDescent="0.3">
      <c r="A17" t="s">
        <v>71</v>
      </c>
      <c r="B17" s="9">
        <v>45422</v>
      </c>
      <c r="C17" t="s">
        <v>19</v>
      </c>
      <c r="D17" t="s">
        <v>72</v>
      </c>
      <c r="E17" t="s">
        <v>54</v>
      </c>
      <c r="F17">
        <v>33</v>
      </c>
      <c r="G17" s="12" t="str">
        <f t="shared" si="0"/>
        <v>30-34</v>
      </c>
      <c r="H17">
        <v>5</v>
      </c>
      <c r="I17">
        <v>0</v>
      </c>
      <c r="J17">
        <v>5</v>
      </c>
      <c r="K17" t="s">
        <v>22</v>
      </c>
      <c r="L17" t="s">
        <v>23</v>
      </c>
      <c r="M17">
        <v>2.94</v>
      </c>
      <c r="N17" t="s">
        <v>24</v>
      </c>
      <c r="O17" t="s">
        <v>25</v>
      </c>
      <c r="P17">
        <v>67294</v>
      </c>
      <c r="Q17">
        <v>1</v>
      </c>
      <c r="R17" t="s">
        <v>25</v>
      </c>
      <c r="S17" t="s">
        <v>26</v>
      </c>
    </row>
    <row r="18" spans="1:19" x14ac:dyDescent="0.3">
      <c r="A18" t="s">
        <v>73</v>
      </c>
      <c r="B18" s="9">
        <v>46024</v>
      </c>
      <c r="C18" t="s">
        <v>59</v>
      </c>
      <c r="D18" t="s">
        <v>74</v>
      </c>
      <c r="E18" t="s">
        <v>75</v>
      </c>
      <c r="F18">
        <v>27</v>
      </c>
      <c r="G18" s="12" t="str">
        <f t="shared" si="0"/>
        <v>25-29</v>
      </c>
      <c r="H18">
        <v>3</v>
      </c>
      <c r="I18">
        <v>3</v>
      </c>
      <c r="J18">
        <v>5</v>
      </c>
      <c r="K18" t="s">
        <v>38</v>
      </c>
      <c r="L18" t="s">
        <v>23</v>
      </c>
      <c r="M18">
        <v>3.91</v>
      </c>
      <c r="N18" t="s">
        <v>24</v>
      </c>
      <c r="O18" t="s">
        <v>25</v>
      </c>
      <c r="P18">
        <v>132043</v>
      </c>
      <c r="Q18">
        <v>2</v>
      </c>
      <c r="R18" t="s">
        <v>25</v>
      </c>
      <c r="S18" t="s">
        <v>26</v>
      </c>
    </row>
    <row r="19" spans="1:19" x14ac:dyDescent="0.3">
      <c r="A19" t="s">
        <v>76</v>
      </c>
      <c r="B19" s="9">
        <v>45861</v>
      </c>
      <c r="C19" t="s">
        <v>59</v>
      </c>
      <c r="D19" t="s">
        <v>49</v>
      </c>
      <c r="E19" t="s">
        <v>54</v>
      </c>
      <c r="F19">
        <v>26</v>
      </c>
      <c r="G19" s="12" t="str">
        <f t="shared" si="0"/>
        <v>25-29</v>
      </c>
      <c r="H19">
        <v>4</v>
      </c>
      <c r="I19">
        <v>4</v>
      </c>
      <c r="J19">
        <v>6</v>
      </c>
      <c r="K19" t="s">
        <v>22</v>
      </c>
      <c r="L19" t="s">
        <v>23</v>
      </c>
      <c r="M19">
        <v>3.28</v>
      </c>
      <c r="N19" t="s">
        <v>24</v>
      </c>
      <c r="O19" t="s">
        <v>25</v>
      </c>
      <c r="P19">
        <v>51755</v>
      </c>
      <c r="Q19">
        <v>2</v>
      </c>
      <c r="R19" t="s">
        <v>26</v>
      </c>
      <c r="S19" t="s">
        <v>26</v>
      </c>
    </row>
    <row r="20" spans="1:19" x14ac:dyDescent="0.3">
      <c r="A20" t="s">
        <v>77</v>
      </c>
      <c r="B20" s="9">
        <v>45632</v>
      </c>
      <c r="C20" t="s">
        <v>28</v>
      </c>
      <c r="D20" t="s">
        <v>78</v>
      </c>
      <c r="E20" t="s">
        <v>21</v>
      </c>
      <c r="F20">
        <v>29</v>
      </c>
      <c r="G20" s="12" t="str">
        <f t="shared" si="0"/>
        <v>25-29</v>
      </c>
      <c r="H20">
        <v>1</v>
      </c>
      <c r="I20">
        <v>0</v>
      </c>
      <c r="J20">
        <v>6</v>
      </c>
      <c r="K20" t="s">
        <v>38</v>
      </c>
      <c r="L20" t="s">
        <v>23</v>
      </c>
      <c r="M20">
        <v>2.71</v>
      </c>
      <c r="N20" t="s">
        <v>24</v>
      </c>
      <c r="O20" t="s">
        <v>25</v>
      </c>
      <c r="P20">
        <v>136808</v>
      </c>
      <c r="Q20">
        <v>3</v>
      </c>
      <c r="R20" t="s">
        <v>26</v>
      </c>
      <c r="S20" t="s">
        <v>26</v>
      </c>
    </row>
    <row r="21" spans="1:19" x14ac:dyDescent="0.3">
      <c r="A21" t="s">
        <v>79</v>
      </c>
      <c r="B21" s="9">
        <v>45778</v>
      </c>
      <c r="C21" t="s">
        <v>28</v>
      </c>
      <c r="D21" t="s">
        <v>78</v>
      </c>
      <c r="E21" t="s">
        <v>54</v>
      </c>
      <c r="F21">
        <v>21</v>
      </c>
      <c r="G21" s="12" t="str">
        <f t="shared" si="0"/>
        <v>18-24</v>
      </c>
      <c r="H21">
        <v>3</v>
      </c>
      <c r="I21">
        <v>3</v>
      </c>
      <c r="J21">
        <v>5</v>
      </c>
      <c r="K21" t="s">
        <v>22</v>
      </c>
      <c r="L21" t="s">
        <v>23</v>
      </c>
      <c r="M21">
        <v>3.24</v>
      </c>
      <c r="N21" t="s">
        <v>80</v>
      </c>
      <c r="O21" t="s">
        <v>25</v>
      </c>
      <c r="P21">
        <v>65127</v>
      </c>
      <c r="Q21">
        <v>1</v>
      </c>
      <c r="R21" t="s">
        <v>25</v>
      </c>
      <c r="S21" t="s">
        <v>26</v>
      </c>
    </row>
    <row r="22" spans="1:19" x14ac:dyDescent="0.3">
      <c r="A22" t="s">
        <v>81</v>
      </c>
      <c r="B22" s="9">
        <v>45349</v>
      </c>
      <c r="C22" t="s">
        <v>59</v>
      </c>
      <c r="D22" t="s">
        <v>60</v>
      </c>
      <c r="E22" t="s">
        <v>30</v>
      </c>
      <c r="F22">
        <v>21</v>
      </c>
      <c r="G22" s="12" t="str">
        <f t="shared" si="0"/>
        <v>18-24</v>
      </c>
      <c r="H22">
        <v>2</v>
      </c>
      <c r="I22">
        <v>0</v>
      </c>
      <c r="J22">
        <v>4</v>
      </c>
      <c r="K22" t="s">
        <v>22</v>
      </c>
      <c r="L22" t="s">
        <v>23</v>
      </c>
      <c r="M22">
        <v>2.91</v>
      </c>
      <c r="N22" t="s">
        <v>24</v>
      </c>
      <c r="O22" t="s">
        <v>25</v>
      </c>
      <c r="P22">
        <v>44943</v>
      </c>
      <c r="Q22">
        <v>1</v>
      </c>
      <c r="R22" t="s">
        <v>25</v>
      </c>
      <c r="S22" t="s">
        <v>26</v>
      </c>
    </row>
    <row r="23" spans="1:19" x14ac:dyDescent="0.3">
      <c r="A23" t="s">
        <v>84</v>
      </c>
      <c r="B23" s="9">
        <v>45437</v>
      </c>
      <c r="C23" t="s">
        <v>19</v>
      </c>
      <c r="D23" t="s">
        <v>20</v>
      </c>
      <c r="E23" t="s">
        <v>33</v>
      </c>
      <c r="F23">
        <v>31</v>
      </c>
      <c r="G23" s="12" t="str">
        <f t="shared" si="0"/>
        <v>30-34</v>
      </c>
      <c r="H23">
        <v>4</v>
      </c>
      <c r="I23">
        <v>2</v>
      </c>
      <c r="J23">
        <v>8</v>
      </c>
      <c r="K23" t="s">
        <v>38</v>
      </c>
      <c r="L23" t="s">
        <v>23</v>
      </c>
      <c r="M23">
        <v>3.2</v>
      </c>
      <c r="N23" t="s">
        <v>24</v>
      </c>
      <c r="O23" t="s">
        <v>25</v>
      </c>
      <c r="P23">
        <v>151438</v>
      </c>
      <c r="Q23">
        <v>3</v>
      </c>
      <c r="R23" t="s">
        <v>25</v>
      </c>
      <c r="S23" t="s">
        <v>26</v>
      </c>
    </row>
    <row r="24" spans="1:19" x14ac:dyDescent="0.3">
      <c r="A24" t="s">
        <v>86</v>
      </c>
      <c r="B24" s="9">
        <v>45961</v>
      </c>
      <c r="C24" t="s">
        <v>52</v>
      </c>
      <c r="D24" t="s">
        <v>87</v>
      </c>
      <c r="E24" t="s">
        <v>37</v>
      </c>
      <c r="F24">
        <v>19</v>
      </c>
      <c r="G24" s="12" t="str">
        <f t="shared" si="0"/>
        <v>18-24</v>
      </c>
      <c r="H24">
        <v>4</v>
      </c>
      <c r="I24">
        <v>1</v>
      </c>
      <c r="J24">
        <v>4</v>
      </c>
      <c r="K24" t="s">
        <v>38</v>
      </c>
      <c r="L24" t="s">
        <v>23</v>
      </c>
      <c r="M24">
        <v>3.13</v>
      </c>
      <c r="N24" t="s">
        <v>88</v>
      </c>
      <c r="O24" t="s">
        <v>25</v>
      </c>
      <c r="P24">
        <v>206581</v>
      </c>
      <c r="Q24">
        <v>3</v>
      </c>
      <c r="R24" t="s">
        <v>26</v>
      </c>
      <c r="S24" t="s">
        <v>26</v>
      </c>
    </row>
    <row r="25" spans="1:19" x14ac:dyDescent="0.3">
      <c r="A25" t="s">
        <v>89</v>
      </c>
      <c r="B25" s="9">
        <v>45354</v>
      </c>
      <c r="C25" t="s">
        <v>19</v>
      </c>
      <c r="D25" t="s">
        <v>20</v>
      </c>
      <c r="E25" t="s">
        <v>54</v>
      </c>
      <c r="F25">
        <v>30</v>
      </c>
      <c r="G25" s="12" t="str">
        <f t="shared" si="0"/>
        <v>30-34</v>
      </c>
      <c r="H25">
        <v>7</v>
      </c>
      <c r="I25">
        <v>1</v>
      </c>
      <c r="J25">
        <v>4</v>
      </c>
      <c r="K25" t="s">
        <v>22</v>
      </c>
      <c r="L25" t="s">
        <v>23</v>
      </c>
      <c r="M25">
        <v>2.46</v>
      </c>
      <c r="N25" t="s">
        <v>24</v>
      </c>
      <c r="O25" t="s">
        <v>25</v>
      </c>
      <c r="P25">
        <v>93570</v>
      </c>
      <c r="Q25">
        <v>3</v>
      </c>
      <c r="R25" t="s">
        <v>25</v>
      </c>
      <c r="S25" t="s">
        <v>26</v>
      </c>
    </row>
    <row r="26" spans="1:19" x14ac:dyDescent="0.3">
      <c r="A26" t="s">
        <v>90</v>
      </c>
      <c r="B26" s="9">
        <v>45863</v>
      </c>
      <c r="C26" t="s">
        <v>59</v>
      </c>
      <c r="D26" t="s">
        <v>91</v>
      </c>
      <c r="E26" t="s">
        <v>30</v>
      </c>
      <c r="F26">
        <v>32</v>
      </c>
      <c r="G26" s="12" t="str">
        <f t="shared" si="0"/>
        <v>30-34</v>
      </c>
      <c r="H26">
        <v>4</v>
      </c>
      <c r="I26">
        <v>2</v>
      </c>
      <c r="J26">
        <v>3</v>
      </c>
      <c r="K26" t="s">
        <v>38</v>
      </c>
      <c r="L26" t="s">
        <v>23</v>
      </c>
      <c r="M26">
        <v>3.87</v>
      </c>
      <c r="N26" t="s">
        <v>24</v>
      </c>
      <c r="O26" t="s">
        <v>25</v>
      </c>
      <c r="P26">
        <v>109953</v>
      </c>
      <c r="Q26">
        <v>4</v>
      </c>
      <c r="R26" t="s">
        <v>25</v>
      </c>
      <c r="S26" t="s">
        <v>26</v>
      </c>
    </row>
    <row r="27" spans="1:19" x14ac:dyDescent="0.3">
      <c r="A27" t="s">
        <v>92</v>
      </c>
      <c r="B27" s="9">
        <v>45615</v>
      </c>
      <c r="C27" t="s">
        <v>59</v>
      </c>
      <c r="D27" t="s">
        <v>74</v>
      </c>
      <c r="E27" t="s">
        <v>21</v>
      </c>
      <c r="F27">
        <v>39</v>
      </c>
      <c r="G27" s="12" t="str">
        <f t="shared" si="0"/>
        <v>35-40</v>
      </c>
      <c r="H27">
        <v>2</v>
      </c>
      <c r="I27">
        <v>1</v>
      </c>
      <c r="J27">
        <v>3</v>
      </c>
      <c r="K27" t="s">
        <v>22</v>
      </c>
      <c r="L27" t="s">
        <v>23</v>
      </c>
      <c r="M27">
        <v>2.79</v>
      </c>
      <c r="N27" t="s">
        <v>94</v>
      </c>
      <c r="O27" t="s">
        <v>25</v>
      </c>
      <c r="P27">
        <v>67491</v>
      </c>
      <c r="Q27">
        <v>1</v>
      </c>
      <c r="R27" t="s">
        <v>26</v>
      </c>
      <c r="S27" t="s">
        <v>26</v>
      </c>
    </row>
    <row r="28" spans="1:19" x14ac:dyDescent="0.3">
      <c r="A28" t="s">
        <v>95</v>
      </c>
      <c r="B28" s="9">
        <v>45903</v>
      </c>
      <c r="C28" t="s">
        <v>19</v>
      </c>
      <c r="D28" t="s">
        <v>96</v>
      </c>
      <c r="E28" t="s">
        <v>21</v>
      </c>
      <c r="F28">
        <v>34</v>
      </c>
      <c r="G28" s="12" t="str">
        <f t="shared" si="0"/>
        <v>30-34</v>
      </c>
      <c r="H28">
        <v>5</v>
      </c>
      <c r="I28">
        <v>4</v>
      </c>
      <c r="J28">
        <v>5</v>
      </c>
      <c r="K28" t="s">
        <v>22</v>
      </c>
      <c r="L28" t="s">
        <v>42</v>
      </c>
      <c r="M28">
        <v>2.52</v>
      </c>
      <c r="N28" t="s">
        <v>24</v>
      </c>
      <c r="O28" t="s">
        <v>25</v>
      </c>
      <c r="P28">
        <v>76839</v>
      </c>
      <c r="Q28">
        <v>1</v>
      </c>
      <c r="R28" t="s">
        <v>25</v>
      </c>
      <c r="S28" t="s">
        <v>26</v>
      </c>
    </row>
    <row r="29" spans="1:19" x14ac:dyDescent="0.3">
      <c r="A29" t="s">
        <v>97</v>
      </c>
      <c r="B29" s="9">
        <v>45872</v>
      </c>
      <c r="C29" t="s">
        <v>52</v>
      </c>
      <c r="D29" t="s">
        <v>64</v>
      </c>
      <c r="E29" t="s">
        <v>37</v>
      </c>
      <c r="F29">
        <v>36</v>
      </c>
      <c r="G29" s="12" t="str">
        <f t="shared" si="0"/>
        <v>35-40</v>
      </c>
      <c r="H29">
        <v>1</v>
      </c>
      <c r="I29">
        <v>0</v>
      </c>
      <c r="J29">
        <v>3</v>
      </c>
      <c r="K29" t="s">
        <v>22</v>
      </c>
      <c r="L29" t="s">
        <v>23</v>
      </c>
      <c r="M29">
        <v>2.92</v>
      </c>
      <c r="N29" t="s">
        <v>24</v>
      </c>
      <c r="O29" t="s">
        <v>25</v>
      </c>
      <c r="P29">
        <v>85337</v>
      </c>
      <c r="Q29">
        <v>1</v>
      </c>
      <c r="R29" t="s">
        <v>25</v>
      </c>
      <c r="S29" t="s">
        <v>26</v>
      </c>
    </row>
    <row r="30" spans="1:19" x14ac:dyDescent="0.3">
      <c r="A30" t="s">
        <v>98</v>
      </c>
      <c r="B30" s="9">
        <v>45601</v>
      </c>
      <c r="C30" t="s">
        <v>35</v>
      </c>
      <c r="D30" t="s">
        <v>36</v>
      </c>
      <c r="E30" t="s">
        <v>33</v>
      </c>
      <c r="F30">
        <v>30</v>
      </c>
      <c r="G30" s="12" t="str">
        <f t="shared" si="0"/>
        <v>30-34</v>
      </c>
      <c r="H30">
        <v>2</v>
      </c>
      <c r="I30">
        <v>2</v>
      </c>
      <c r="J30">
        <v>7</v>
      </c>
      <c r="K30" t="s">
        <v>38</v>
      </c>
      <c r="L30" t="s">
        <v>23</v>
      </c>
      <c r="M30">
        <v>2.2200000000000002</v>
      </c>
      <c r="N30" t="s">
        <v>99</v>
      </c>
      <c r="O30" t="s">
        <v>25</v>
      </c>
      <c r="P30">
        <v>149615</v>
      </c>
      <c r="Q30">
        <v>4</v>
      </c>
      <c r="R30" t="s">
        <v>25</v>
      </c>
      <c r="S30" t="s">
        <v>26</v>
      </c>
    </row>
    <row r="31" spans="1:19" x14ac:dyDescent="0.3">
      <c r="A31" t="s">
        <v>100</v>
      </c>
      <c r="B31" s="9">
        <v>45812</v>
      </c>
      <c r="C31" t="s">
        <v>35</v>
      </c>
      <c r="D31" t="s">
        <v>40</v>
      </c>
      <c r="E31" t="s">
        <v>75</v>
      </c>
      <c r="F31">
        <v>32</v>
      </c>
      <c r="G31" s="12" t="str">
        <f t="shared" si="0"/>
        <v>30-34</v>
      </c>
      <c r="H31">
        <v>1</v>
      </c>
      <c r="I31">
        <v>1</v>
      </c>
      <c r="J31">
        <v>2</v>
      </c>
      <c r="K31" t="s">
        <v>22</v>
      </c>
      <c r="L31" t="s">
        <v>23</v>
      </c>
      <c r="M31">
        <v>2.37</v>
      </c>
      <c r="N31" t="s">
        <v>24</v>
      </c>
      <c r="O31" t="s">
        <v>25</v>
      </c>
      <c r="P31">
        <v>78048</v>
      </c>
      <c r="Q31">
        <v>2</v>
      </c>
      <c r="R31" t="s">
        <v>25</v>
      </c>
      <c r="S31" t="s">
        <v>26</v>
      </c>
    </row>
    <row r="32" spans="1:19" x14ac:dyDescent="0.3">
      <c r="A32" t="s">
        <v>101</v>
      </c>
      <c r="B32" s="9">
        <v>45920</v>
      </c>
      <c r="C32" t="s">
        <v>52</v>
      </c>
      <c r="D32" t="s">
        <v>87</v>
      </c>
      <c r="E32" t="s">
        <v>30</v>
      </c>
      <c r="F32">
        <v>30</v>
      </c>
      <c r="G32" s="12" t="str">
        <f t="shared" si="0"/>
        <v>30-34</v>
      </c>
      <c r="H32">
        <v>1</v>
      </c>
      <c r="I32">
        <v>0</v>
      </c>
      <c r="J32">
        <v>5</v>
      </c>
      <c r="K32" t="s">
        <v>22</v>
      </c>
      <c r="L32" t="s">
        <v>23</v>
      </c>
      <c r="M32">
        <v>2.73</v>
      </c>
      <c r="N32" t="s">
        <v>102</v>
      </c>
      <c r="O32" t="s">
        <v>25</v>
      </c>
      <c r="P32">
        <v>70806</v>
      </c>
      <c r="Q32">
        <v>2</v>
      </c>
      <c r="R32" t="s">
        <v>25</v>
      </c>
      <c r="S32" t="s">
        <v>26</v>
      </c>
    </row>
    <row r="33" spans="1:19" x14ac:dyDescent="0.3">
      <c r="A33" t="s">
        <v>103</v>
      </c>
      <c r="B33" s="9">
        <v>45412</v>
      </c>
      <c r="C33" t="s">
        <v>28</v>
      </c>
      <c r="D33" t="s">
        <v>70</v>
      </c>
      <c r="E33" t="s">
        <v>21</v>
      </c>
      <c r="F33">
        <v>25</v>
      </c>
      <c r="G33" s="12" t="str">
        <f t="shared" si="0"/>
        <v>25-29</v>
      </c>
      <c r="H33">
        <v>6</v>
      </c>
      <c r="I33">
        <v>4</v>
      </c>
      <c r="J33">
        <v>8</v>
      </c>
      <c r="K33" t="s">
        <v>22</v>
      </c>
      <c r="L33" t="s">
        <v>23</v>
      </c>
      <c r="M33">
        <v>3.36</v>
      </c>
      <c r="N33" t="s">
        <v>80</v>
      </c>
      <c r="O33" t="s">
        <v>25</v>
      </c>
      <c r="P33">
        <v>35217</v>
      </c>
      <c r="Q33">
        <v>2</v>
      </c>
      <c r="R33" t="s">
        <v>26</v>
      </c>
      <c r="S33" t="s">
        <v>26</v>
      </c>
    </row>
    <row r="34" spans="1:19" x14ac:dyDescent="0.3">
      <c r="A34" t="s">
        <v>105</v>
      </c>
      <c r="B34" s="9">
        <v>45564</v>
      </c>
      <c r="C34" t="s">
        <v>28</v>
      </c>
      <c r="D34" t="s">
        <v>78</v>
      </c>
      <c r="E34" t="s">
        <v>37</v>
      </c>
      <c r="F34">
        <v>24</v>
      </c>
      <c r="G34" s="12" t="str">
        <f t="shared" si="0"/>
        <v>18-24</v>
      </c>
      <c r="H34">
        <v>3</v>
      </c>
      <c r="I34">
        <v>2</v>
      </c>
      <c r="J34">
        <v>6</v>
      </c>
      <c r="K34" t="s">
        <v>22</v>
      </c>
      <c r="L34" t="s">
        <v>23</v>
      </c>
      <c r="M34">
        <v>3.74</v>
      </c>
      <c r="N34" t="s">
        <v>24</v>
      </c>
      <c r="O34" t="s">
        <v>25</v>
      </c>
      <c r="P34">
        <v>44482</v>
      </c>
      <c r="Q34">
        <v>3</v>
      </c>
      <c r="R34" t="s">
        <v>25</v>
      </c>
      <c r="S34" t="s">
        <v>26</v>
      </c>
    </row>
    <row r="35" spans="1:19" x14ac:dyDescent="0.3">
      <c r="A35" t="s">
        <v>106</v>
      </c>
      <c r="B35" s="9">
        <v>45427</v>
      </c>
      <c r="C35" t="s">
        <v>59</v>
      </c>
      <c r="D35" t="s">
        <v>49</v>
      </c>
      <c r="E35" t="s">
        <v>30</v>
      </c>
      <c r="F35">
        <v>31</v>
      </c>
      <c r="G35" s="12" t="str">
        <f t="shared" si="0"/>
        <v>30-34</v>
      </c>
      <c r="H35">
        <v>7</v>
      </c>
      <c r="I35">
        <v>0</v>
      </c>
      <c r="J35">
        <v>6</v>
      </c>
      <c r="K35" t="s">
        <v>22</v>
      </c>
      <c r="L35" t="s">
        <v>23</v>
      </c>
      <c r="M35">
        <v>4.1399999999999997</v>
      </c>
      <c r="N35" t="s">
        <v>24</v>
      </c>
      <c r="O35" t="s">
        <v>25</v>
      </c>
      <c r="P35">
        <v>58865</v>
      </c>
      <c r="Q35">
        <v>1</v>
      </c>
      <c r="R35" t="s">
        <v>26</v>
      </c>
      <c r="S35" t="s">
        <v>26</v>
      </c>
    </row>
    <row r="36" spans="1:19" x14ac:dyDescent="0.3">
      <c r="A36" t="s">
        <v>107</v>
      </c>
      <c r="B36" s="9">
        <v>46001</v>
      </c>
      <c r="C36" t="s">
        <v>35</v>
      </c>
      <c r="D36" t="s">
        <v>45</v>
      </c>
      <c r="E36" t="s">
        <v>54</v>
      </c>
      <c r="F36">
        <v>24</v>
      </c>
      <c r="G36" s="12" t="str">
        <f t="shared" si="0"/>
        <v>18-24</v>
      </c>
      <c r="H36">
        <v>6</v>
      </c>
      <c r="I36">
        <v>3</v>
      </c>
      <c r="K36" t="s">
        <v>22</v>
      </c>
      <c r="L36" t="s">
        <v>23</v>
      </c>
      <c r="M36">
        <v>3.06</v>
      </c>
      <c r="N36" t="s">
        <v>24</v>
      </c>
      <c r="O36" t="s">
        <v>25</v>
      </c>
      <c r="P36">
        <v>73528</v>
      </c>
      <c r="Q36">
        <v>2</v>
      </c>
      <c r="R36" t="s">
        <v>26</v>
      </c>
      <c r="S36" t="s">
        <v>26</v>
      </c>
    </row>
    <row r="37" spans="1:19" x14ac:dyDescent="0.3">
      <c r="A37" t="s">
        <v>108</v>
      </c>
      <c r="B37" s="9">
        <v>45334</v>
      </c>
      <c r="C37" t="s">
        <v>28</v>
      </c>
      <c r="D37" t="s">
        <v>70</v>
      </c>
      <c r="E37" t="s">
        <v>75</v>
      </c>
      <c r="F37">
        <v>33</v>
      </c>
      <c r="G37" s="12" t="str">
        <f t="shared" si="0"/>
        <v>30-34</v>
      </c>
      <c r="H37">
        <v>7</v>
      </c>
      <c r="I37">
        <v>2</v>
      </c>
      <c r="J37">
        <v>5</v>
      </c>
      <c r="K37" t="s">
        <v>22</v>
      </c>
      <c r="L37" t="s">
        <v>23</v>
      </c>
      <c r="M37">
        <v>3.9</v>
      </c>
      <c r="N37" t="s">
        <v>24</v>
      </c>
      <c r="O37" t="s">
        <v>25</v>
      </c>
      <c r="P37">
        <v>58383</v>
      </c>
      <c r="Q37">
        <v>6</v>
      </c>
      <c r="R37" t="s">
        <v>25</v>
      </c>
      <c r="S37" t="s">
        <v>26</v>
      </c>
    </row>
    <row r="38" spans="1:19" x14ac:dyDescent="0.3">
      <c r="A38" t="s">
        <v>110</v>
      </c>
      <c r="B38" s="9">
        <v>45452</v>
      </c>
      <c r="C38" t="s">
        <v>52</v>
      </c>
      <c r="D38" t="s">
        <v>111</v>
      </c>
      <c r="E38" t="s">
        <v>54</v>
      </c>
      <c r="F38">
        <v>32</v>
      </c>
      <c r="G38" s="12" t="str">
        <f t="shared" si="0"/>
        <v>30-34</v>
      </c>
      <c r="H38">
        <v>6</v>
      </c>
      <c r="I38">
        <v>0</v>
      </c>
      <c r="J38">
        <v>3</v>
      </c>
      <c r="K38" t="s">
        <v>22</v>
      </c>
      <c r="L38" t="s">
        <v>23</v>
      </c>
      <c r="M38">
        <v>2.5099999999999998</v>
      </c>
      <c r="N38" t="s">
        <v>99</v>
      </c>
      <c r="O38" t="s">
        <v>25</v>
      </c>
      <c r="P38">
        <v>77061</v>
      </c>
      <c r="Q38">
        <v>1</v>
      </c>
      <c r="R38" t="s">
        <v>25</v>
      </c>
      <c r="S38" t="s">
        <v>26</v>
      </c>
    </row>
    <row r="39" spans="1:19" x14ac:dyDescent="0.3">
      <c r="A39" t="s">
        <v>112</v>
      </c>
      <c r="B39" s="9">
        <v>45979</v>
      </c>
      <c r="C39" t="s">
        <v>52</v>
      </c>
      <c r="D39" t="s">
        <v>111</v>
      </c>
      <c r="E39" t="s">
        <v>30</v>
      </c>
      <c r="F39">
        <v>32</v>
      </c>
      <c r="G39" s="12" t="str">
        <f t="shared" si="0"/>
        <v>30-34</v>
      </c>
      <c r="H39">
        <v>4</v>
      </c>
      <c r="I39">
        <v>0</v>
      </c>
      <c r="J39">
        <v>5</v>
      </c>
      <c r="K39" t="s">
        <v>22</v>
      </c>
      <c r="L39" t="s">
        <v>23</v>
      </c>
      <c r="M39">
        <v>3.06</v>
      </c>
      <c r="N39" t="s">
        <v>94</v>
      </c>
      <c r="O39" t="s">
        <v>25</v>
      </c>
      <c r="P39">
        <v>43830</v>
      </c>
      <c r="Q39">
        <v>1</v>
      </c>
      <c r="R39" t="s">
        <v>25</v>
      </c>
      <c r="S39" t="s">
        <v>26</v>
      </c>
    </row>
    <row r="40" spans="1:19" x14ac:dyDescent="0.3">
      <c r="A40" t="s">
        <v>114</v>
      </c>
      <c r="B40" s="9">
        <v>45765</v>
      </c>
      <c r="C40" t="s">
        <v>52</v>
      </c>
      <c r="D40" t="s">
        <v>87</v>
      </c>
      <c r="E40" t="s">
        <v>75</v>
      </c>
      <c r="F40">
        <v>26</v>
      </c>
      <c r="G40" s="12" t="str">
        <f t="shared" si="0"/>
        <v>25-29</v>
      </c>
      <c r="H40">
        <v>2</v>
      </c>
      <c r="I40">
        <v>2</v>
      </c>
      <c r="J40">
        <v>6</v>
      </c>
      <c r="K40" t="s">
        <v>38</v>
      </c>
      <c r="L40" t="s">
        <v>23</v>
      </c>
      <c r="M40">
        <v>3.22</v>
      </c>
      <c r="N40" t="s">
        <v>102</v>
      </c>
      <c r="O40" t="s">
        <v>25</v>
      </c>
      <c r="P40">
        <v>33856</v>
      </c>
      <c r="Q40">
        <v>2</v>
      </c>
      <c r="R40" t="s">
        <v>25</v>
      </c>
      <c r="S40" t="s">
        <v>26</v>
      </c>
    </row>
    <row r="41" spans="1:19" x14ac:dyDescent="0.3">
      <c r="A41" t="s">
        <v>116</v>
      </c>
      <c r="B41" s="9">
        <v>45579</v>
      </c>
      <c r="C41" t="s">
        <v>35</v>
      </c>
      <c r="D41" t="s">
        <v>45</v>
      </c>
      <c r="E41" t="s">
        <v>75</v>
      </c>
      <c r="F41">
        <v>30</v>
      </c>
      <c r="G41" s="12" t="str">
        <f t="shared" si="0"/>
        <v>30-34</v>
      </c>
      <c r="H41">
        <v>2</v>
      </c>
      <c r="I41">
        <v>0</v>
      </c>
      <c r="J41">
        <v>3</v>
      </c>
      <c r="K41" t="s">
        <v>22</v>
      </c>
      <c r="L41" t="s">
        <v>23</v>
      </c>
      <c r="M41">
        <v>3.18</v>
      </c>
      <c r="N41" t="s">
        <v>24</v>
      </c>
      <c r="O41" t="s">
        <v>25</v>
      </c>
      <c r="P41">
        <v>66455</v>
      </c>
      <c r="Q41">
        <v>1</v>
      </c>
      <c r="R41" t="s">
        <v>26</v>
      </c>
      <c r="S41" t="s">
        <v>26</v>
      </c>
    </row>
    <row r="42" spans="1:19" x14ac:dyDescent="0.3">
      <c r="A42" t="s">
        <v>117</v>
      </c>
      <c r="B42" s="9">
        <v>45888</v>
      </c>
      <c r="C42" t="s">
        <v>28</v>
      </c>
      <c r="D42" t="s">
        <v>29</v>
      </c>
      <c r="E42" t="s">
        <v>75</v>
      </c>
      <c r="F42">
        <v>30</v>
      </c>
      <c r="G42" s="12" t="str">
        <f t="shared" si="0"/>
        <v>30-34</v>
      </c>
      <c r="H42">
        <v>6</v>
      </c>
      <c r="I42">
        <v>4</v>
      </c>
      <c r="J42">
        <v>6</v>
      </c>
      <c r="K42" t="s">
        <v>22</v>
      </c>
      <c r="L42" t="s">
        <v>23</v>
      </c>
      <c r="M42">
        <v>3.7</v>
      </c>
      <c r="N42" t="s">
        <v>102</v>
      </c>
      <c r="O42" t="s">
        <v>25</v>
      </c>
      <c r="P42">
        <v>91345</v>
      </c>
      <c r="Q42">
        <v>1</v>
      </c>
      <c r="R42" t="s">
        <v>25</v>
      </c>
      <c r="S42" t="s">
        <v>26</v>
      </c>
    </row>
    <row r="43" spans="1:19" x14ac:dyDescent="0.3">
      <c r="A43" t="s">
        <v>118</v>
      </c>
      <c r="B43" s="9">
        <v>45412</v>
      </c>
      <c r="C43" t="s">
        <v>19</v>
      </c>
      <c r="D43" t="s">
        <v>20</v>
      </c>
      <c r="E43" t="s">
        <v>33</v>
      </c>
      <c r="F43">
        <v>24</v>
      </c>
      <c r="G43" s="12" t="str">
        <f t="shared" si="0"/>
        <v>18-24</v>
      </c>
      <c r="H43">
        <v>5</v>
      </c>
      <c r="I43">
        <v>3</v>
      </c>
      <c r="J43">
        <v>6</v>
      </c>
      <c r="K43" t="s">
        <v>22</v>
      </c>
      <c r="L43" t="s">
        <v>23</v>
      </c>
      <c r="M43">
        <v>3.38</v>
      </c>
      <c r="N43" t="s">
        <v>24</v>
      </c>
      <c r="O43" t="s">
        <v>25</v>
      </c>
      <c r="P43">
        <v>77876</v>
      </c>
      <c r="Q43">
        <v>7</v>
      </c>
      <c r="R43" t="s">
        <v>25</v>
      </c>
      <c r="S43" t="s">
        <v>26</v>
      </c>
    </row>
    <row r="44" spans="1:19" x14ac:dyDescent="0.3">
      <c r="A44" t="s">
        <v>119</v>
      </c>
      <c r="B44" s="9">
        <v>45980</v>
      </c>
      <c r="C44" t="s">
        <v>28</v>
      </c>
      <c r="D44" t="s">
        <v>78</v>
      </c>
      <c r="E44" t="s">
        <v>54</v>
      </c>
      <c r="F44">
        <v>31</v>
      </c>
      <c r="G44" s="12" t="str">
        <f t="shared" si="0"/>
        <v>30-34</v>
      </c>
      <c r="H44">
        <v>3</v>
      </c>
      <c r="I44">
        <v>0</v>
      </c>
      <c r="J44">
        <v>7</v>
      </c>
      <c r="K44" t="s">
        <v>38</v>
      </c>
      <c r="L44" t="s">
        <v>23</v>
      </c>
      <c r="M44">
        <v>3.62</v>
      </c>
      <c r="N44" t="s">
        <v>80</v>
      </c>
      <c r="O44" t="s">
        <v>25</v>
      </c>
      <c r="P44">
        <v>161284</v>
      </c>
      <c r="Q44">
        <v>3</v>
      </c>
      <c r="R44" t="s">
        <v>25</v>
      </c>
      <c r="S44" t="s">
        <v>26</v>
      </c>
    </row>
    <row r="45" spans="1:19" x14ac:dyDescent="0.3">
      <c r="A45" t="s">
        <v>120</v>
      </c>
      <c r="B45" s="9">
        <v>45813</v>
      </c>
      <c r="C45" t="s">
        <v>35</v>
      </c>
      <c r="D45" t="s">
        <v>121</v>
      </c>
      <c r="E45" t="s">
        <v>75</v>
      </c>
      <c r="F45">
        <v>32</v>
      </c>
      <c r="G45" s="12" t="str">
        <f t="shared" si="0"/>
        <v>30-34</v>
      </c>
      <c r="H45">
        <v>1</v>
      </c>
      <c r="I45">
        <v>1</v>
      </c>
      <c r="J45">
        <v>3</v>
      </c>
      <c r="K45" t="s">
        <v>22</v>
      </c>
      <c r="L45" t="s">
        <v>23</v>
      </c>
      <c r="M45">
        <v>2.97</v>
      </c>
      <c r="N45" t="s">
        <v>24</v>
      </c>
      <c r="O45" t="s">
        <v>25</v>
      </c>
      <c r="P45">
        <v>52865</v>
      </c>
      <c r="Q45">
        <v>2</v>
      </c>
      <c r="R45" t="s">
        <v>25</v>
      </c>
      <c r="S45" t="s">
        <v>26</v>
      </c>
    </row>
    <row r="46" spans="1:19" x14ac:dyDescent="0.3">
      <c r="A46" t="s">
        <v>122</v>
      </c>
      <c r="B46" s="9">
        <v>45472</v>
      </c>
      <c r="C46" t="s">
        <v>59</v>
      </c>
      <c r="D46" t="s">
        <v>49</v>
      </c>
      <c r="E46" t="s">
        <v>37</v>
      </c>
      <c r="F46">
        <v>40</v>
      </c>
      <c r="G46" s="12" t="str">
        <f t="shared" si="0"/>
        <v>40-45</v>
      </c>
      <c r="H46">
        <v>4</v>
      </c>
      <c r="I46">
        <v>2</v>
      </c>
      <c r="J46">
        <v>1</v>
      </c>
      <c r="K46" t="s">
        <v>22</v>
      </c>
      <c r="L46" t="s">
        <v>23</v>
      </c>
      <c r="M46">
        <v>3.5</v>
      </c>
      <c r="N46" t="s">
        <v>50</v>
      </c>
      <c r="O46" t="s">
        <v>25</v>
      </c>
      <c r="P46">
        <v>24682</v>
      </c>
      <c r="Q46">
        <v>1</v>
      </c>
      <c r="R46" t="s">
        <v>25</v>
      </c>
      <c r="S46" t="s">
        <v>26</v>
      </c>
    </row>
    <row r="47" spans="1:19" x14ac:dyDescent="0.3">
      <c r="A47" t="s">
        <v>123</v>
      </c>
      <c r="B47" s="9">
        <v>45915</v>
      </c>
      <c r="C47" t="s">
        <v>28</v>
      </c>
      <c r="D47" t="s">
        <v>124</v>
      </c>
      <c r="E47" t="s">
        <v>30</v>
      </c>
      <c r="F47">
        <v>34</v>
      </c>
      <c r="G47" s="12" t="str">
        <f t="shared" si="0"/>
        <v>30-34</v>
      </c>
      <c r="H47">
        <v>4</v>
      </c>
      <c r="I47">
        <v>4</v>
      </c>
      <c r="J47">
        <v>5</v>
      </c>
      <c r="K47" t="s">
        <v>38</v>
      </c>
      <c r="L47" t="s">
        <v>23</v>
      </c>
      <c r="M47">
        <v>2.5099999999999998</v>
      </c>
      <c r="N47" t="s">
        <v>24</v>
      </c>
      <c r="O47" t="s">
        <v>25</v>
      </c>
      <c r="P47">
        <v>127117</v>
      </c>
      <c r="Q47">
        <v>5</v>
      </c>
      <c r="R47" t="s">
        <v>25</v>
      </c>
      <c r="S47" t="s">
        <v>26</v>
      </c>
    </row>
    <row r="48" spans="1:19" x14ac:dyDescent="0.3">
      <c r="A48" t="s">
        <v>125</v>
      </c>
      <c r="B48" s="9">
        <v>45968</v>
      </c>
      <c r="C48" t="s">
        <v>35</v>
      </c>
      <c r="D48" t="s">
        <v>121</v>
      </c>
      <c r="E48" t="s">
        <v>21</v>
      </c>
      <c r="F48">
        <v>25</v>
      </c>
      <c r="G48" s="12" t="str">
        <f t="shared" si="0"/>
        <v>25-29</v>
      </c>
      <c r="H48">
        <v>4</v>
      </c>
      <c r="I48">
        <v>3</v>
      </c>
      <c r="J48">
        <v>5</v>
      </c>
      <c r="K48" t="s">
        <v>22</v>
      </c>
      <c r="L48" t="s">
        <v>23</v>
      </c>
      <c r="M48">
        <v>3.5</v>
      </c>
      <c r="N48" t="s">
        <v>88</v>
      </c>
      <c r="O48" t="s">
        <v>25</v>
      </c>
      <c r="P48">
        <v>48709</v>
      </c>
      <c r="Q48">
        <v>5</v>
      </c>
      <c r="R48" t="s">
        <v>25</v>
      </c>
      <c r="S48" t="s">
        <v>26</v>
      </c>
    </row>
    <row r="49" spans="1:19" x14ac:dyDescent="0.3">
      <c r="A49" t="s">
        <v>126</v>
      </c>
      <c r="B49" s="9">
        <v>45544</v>
      </c>
      <c r="C49" t="s">
        <v>35</v>
      </c>
      <c r="D49" t="s">
        <v>36</v>
      </c>
      <c r="E49" t="s">
        <v>33</v>
      </c>
      <c r="F49">
        <v>32</v>
      </c>
      <c r="G49" s="12" t="str">
        <f t="shared" si="0"/>
        <v>30-34</v>
      </c>
      <c r="H49">
        <v>1</v>
      </c>
      <c r="I49">
        <v>0</v>
      </c>
      <c r="J49">
        <v>0</v>
      </c>
      <c r="K49" t="s">
        <v>22</v>
      </c>
      <c r="L49" t="s">
        <v>23</v>
      </c>
      <c r="M49">
        <v>3.2</v>
      </c>
      <c r="N49" t="s">
        <v>24</v>
      </c>
      <c r="O49" t="s">
        <v>25</v>
      </c>
      <c r="P49">
        <v>48455</v>
      </c>
      <c r="Q49">
        <v>3</v>
      </c>
      <c r="R49" t="s">
        <v>26</v>
      </c>
      <c r="S49" t="s">
        <v>25</v>
      </c>
    </row>
    <row r="50" spans="1:19" x14ac:dyDescent="0.3">
      <c r="A50" t="s">
        <v>127</v>
      </c>
      <c r="B50" s="9">
        <v>45703</v>
      </c>
      <c r="C50" t="s">
        <v>28</v>
      </c>
      <c r="D50" t="s">
        <v>70</v>
      </c>
      <c r="E50" t="s">
        <v>54</v>
      </c>
      <c r="F50">
        <v>25</v>
      </c>
      <c r="G50" s="12" t="str">
        <f t="shared" si="0"/>
        <v>25-29</v>
      </c>
      <c r="H50">
        <v>4</v>
      </c>
      <c r="I50">
        <v>3</v>
      </c>
      <c r="J50">
        <v>4</v>
      </c>
      <c r="K50" t="s">
        <v>38</v>
      </c>
      <c r="L50" t="s">
        <v>23</v>
      </c>
      <c r="M50">
        <v>3.38</v>
      </c>
      <c r="N50" t="s">
        <v>94</v>
      </c>
      <c r="O50" t="s">
        <v>25</v>
      </c>
      <c r="P50">
        <v>166643</v>
      </c>
      <c r="Q50">
        <v>2</v>
      </c>
      <c r="R50" t="s">
        <v>25</v>
      </c>
      <c r="S50" t="s">
        <v>26</v>
      </c>
    </row>
    <row r="51" spans="1:19" x14ac:dyDescent="0.3">
      <c r="A51" t="s">
        <v>128</v>
      </c>
      <c r="B51" s="9">
        <v>45864</v>
      </c>
      <c r="C51" t="s">
        <v>52</v>
      </c>
      <c r="D51" t="s">
        <v>129</v>
      </c>
      <c r="E51" t="s">
        <v>54</v>
      </c>
      <c r="F51">
        <v>27</v>
      </c>
      <c r="G51" s="12" t="str">
        <f t="shared" si="0"/>
        <v>25-29</v>
      </c>
      <c r="H51">
        <v>7</v>
      </c>
      <c r="I51">
        <v>0</v>
      </c>
      <c r="J51">
        <v>4</v>
      </c>
      <c r="K51" t="s">
        <v>38</v>
      </c>
      <c r="L51" t="s">
        <v>23</v>
      </c>
      <c r="M51">
        <v>2.74</v>
      </c>
      <c r="N51" t="s">
        <v>88</v>
      </c>
      <c r="O51" t="s">
        <v>25</v>
      </c>
      <c r="P51">
        <v>189136</v>
      </c>
      <c r="Q51">
        <v>4</v>
      </c>
      <c r="R51" t="s">
        <v>25</v>
      </c>
      <c r="S51" t="s">
        <v>26</v>
      </c>
    </row>
    <row r="52" spans="1:19" x14ac:dyDescent="0.3">
      <c r="A52" t="s">
        <v>130</v>
      </c>
      <c r="B52" s="9">
        <v>45747</v>
      </c>
      <c r="C52" t="s">
        <v>19</v>
      </c>
      <c r="D52" t="s">
        <v>96</v>
      </c>
      <c r="E52" t="s">
        <v>37</v>
      </c>
      <c r="F52">
        <v>22</v>
      </c>
      <c r="G52" s="12" t="str">
        <f t="shared" si="0"/>
        <v>18-24</v>
      </c>
      <c r="H52">
        <v>2</v>
      </c>
      <c r="I52">
        <v>1</v>
      </c>
      <c r="J52">
        <v>6</v>
      </c>
      <c r="K52" t="s">
        <v>22</v>
      </c>
      <c r="L52" t="s">
        <v>55</v>
      </c>
      <c r="M52">
        <v>4.2699999999999996</v>
      </c>
      <c r="N52" t="s">
        <v>24</v>
      </c>
      <c r="O52" t="s">
        <v>25</v>
      </c>
      <c r="P52">
        <v>90811</v>
      </c>
      <c r="Q52">
        <v>1</v>
      </c>
      <c r="R52" t="s">
        <v>25</v>
      </c>
      <c r="S52" t="s">
        <v>26</v>
      </c>
    </row>
    <row r="53" spans="1:19" x14ac:dyDescent="0.3">
      <c r="A53" t="s">
        <v>131</v>
      </c>
      <c r="B53" s="9">
        <v>45547</v>
      </c>
      <c r="C53" t="s">
        <v>28</v>
      </c>
      <c r="D53" t="s">
        <v>29</v>
      </c>
      <c r="E53" t="s">
        <v>21</v>
      </c>
      <c r="F53">
        <v>26</v>
      </c>
      <c r="G53" s="12" t="str">
        <f t="shared" si="0"/>
        <v>25-29</v>
      </c>
      <c r="H53">
        <v>7</v>
      </c>
      <c r="I53">
        <v>4</v>
      </c>
      <c r="J53">
        <v>7</v>
      </c>
      <c r="K53" t="s">
        <v>22</v>
      </c>
      <c r="L53" t="s">
        <v>23</v>
      </c>
      <c r="M53">
        <v>2.71</v>
      </c>
      <c r="N53" t="s">
        <v>102</v>
      </c>
      <c r="O53" t="s">
        <v>25</v>
      </c>
      <c r="P53">
        <v>55789</v>
      </c>
      <c r="Q53">
        <v>3</v>
      </c>
      <c r="R53" t="s">
        <v>25</v>
      </c>
      <c r="S53" t="s">
        <v>26</v>
      </c>
    </row>
    <row r="54" spans="1:19" x14ac:dyDescent="0.3">
      <c r="A54" t="s">
        <v>132</v>
      </c>
      <c r="B54" s="9">
        <v>45621</v>
      </c>
      <c r="C54" t="s">
        <v>35</v>
      </c>
      <c r="D54" t="s">
        <v>121</v>
      </c>
      <c r="E54" t="s">
        <v>37</v>
      </c>
      <c r="F54">
        <v>24</v>
      </c>
      <c r="G54" s="12" t="str">
        <f t="shared" si="0"/>
        <v>18-24</v>
      </c>
      <c r="H54">
        <v>6</v>
      </c>
      <c r="I54">
        <v>1</v>
      </c>
      <c r="J54">
        <v>4</v>
      </c>
      <c r="K54" t="s">
        <v>22</v>
      </c>
      <c r="L54" t="s">
        <v>23</v>
      </c>
      <c r="M54">
        <v>1.32</v>
      </c>
      <c r="N54" t="s">
        <v>24</v>
      </c>
      <c r="O54" t="s">
        <v>25</v>
      </c>
      <c r="P54">
        <v>39390</v>
      </c>
      <c r="Q54">
        <v>1</v>
      </c>
      <c r="R54" t="s">
        <v>25</v>
      </c>
      <c r="S54" t="s">
        <v>26</v>
      </c>
    </row>
    <row r="55" spans="1:19" x14ac:dyDescent="0.3">
      <c r="A55" t="s">
        <v>133</v>
      </c>
      <c r="B55" s="9">
        <v>45632</v>
      </c>
      <c r="C55" t="s">
        <v>19</v>
      </c>
      <c r="D55" t="s">
        <v>72</v>
      </c>
      <c r="E55" t="s">
        <v>37</v>
      </c>
      <c r="F55">
        <v>22</v>
      </c>
      <c r="G55" s="12" t="str">
        <f t="shared" si="0"/>
        <v>18-24</v>
      </c>
      <c r="H55">
        <v>2</v>
      </c>
      <c r="I55">
        <v>0</v>
      </c>
      <c r="J55">
        <v>8</v>
      </c>
      <c r="K55" t="s">
        <v>22</v>
      </c>
      <c r="L55" t="s">
        <v>23</v>
      </c>
      <c r="M55">
        <v>2.31</v>
      </c>
      <c r="N55" t="s">
        <v>24</v>
      </c>
      <c r="O55" t="s">
        <v>25</v>
      </c>
      <c r="P55">
        <v>53998</v>
      </c>
      <c r="Q55">
        <v>2</v>
      </c>
      <c r="R55" t="s">
        <v>25</v>
      </c>
      <c r="S55" t="s">
        <v>26</v>
      </c>
    </row>
    <row r="56" spans="1:19" x14ac:dyDescent="0.3">
      <c r="A56" t="s">
        <v>134</v>
      </c>
      <c r="B56" s="9">
        <v>45314</v>
      </c>
      <c r="C56" t="s">
        <v>59</v>
      </c>
      <c r="D56" t="s">
        <v>60</v>
      </c>
      <c r="E56" t="s">
        <v>37</v>
      </c>
      <c r="F56">
        <v>36</v>
      </c>
      <c r="G56" s="12" t="str">
        <f t="shared" si="0"/>
        <v>35-40</v>
      </c>
      <c r="H56">
        <v>1</v>
      </c>
      <c r="I56">
        <v>0</v>
      </c>
      <c r="J56">
        <v>2</v>
      </c>
      <c r="K56" t="s">
        <v>38</v>
      </c>
      <c r="L56" t="s">
        <v>23</v>
      </c>
      <c r="M56">
        <v>3.74</v>
      </c>
      <c r="N56" t="s">
        <v>94</v>
      </c>
      <c r="O56" t="s">
        <v>25</v>
      </c>
      <c r="P56">
        <v>145255</v>
      </c>
      <c r="Q56">
        <v>2</v>
      </c>
      <c r="R56" t="s">
        <v>25</v>
      </c>
      <c r="S56" t="s">
        <v>26</v>
      </c>
    </row>
    <row r="57" spans="1:19" x14ac:dyDescent="0.3">
      <c r="A57" t="s">
        <v>135</v>
      </c>
      <c r="B57" s="9">
        <v>45845</v>
      </c>
      <c r="C57" t="s">
        <v>59</v>
      </c>
      <c r="D57" t="s">
        <v>60</v>
      </c>
      <c r="E57" t="s">
        <v>30</v>
      </c>
      <c r="F57">
        <v>31</v>
      </c>
      <c r="G57" s="12" t="str">
        <f t="shared" si="0"/>
        <v>30-34</v>
      </c>
      <c r="H57">
        <v>1</v>
      </c>
      <c r="I57">
        <v>1</v>
      </c>
      <c r="J57">
        <v>5</v>
      </c>
      <c r="K57" t="s">
        <v>22</v>
      </c>
      <c r="L57" t="s">
        <v>23</v>
      </c>
      <c r="M57">
        <v>2.77</v>
      </c>
      <c r="N57" t="s">
        <v>102</v>
      </c>
      <c r="O57" t="s">
        <v>25</v>
      </c>
      <c r="P57">
        <v>66745</v>
      </c>
      <c r="Q57">
        <v>1</v>
      </c>
      <c r="R57" t="s">
        <v>25</v>
      </c>
      <c r="S57" t="s">
        <v>26</v>
      </c>
    </row>
    <row r="58" spans="1:19" x14ac:dyDescent="0.3">
      <c r="A58" t="s">
        <v>136</v>
      </c>
      <c r="B58" s="9">
        <v>45708</v>
      </c>
      <c r="C58" t="s">
        <v>28</v>
      </c>
      <c r="D58" t="s">
        <v>78</v>
      </c>
      <c r="E58" t="s">
        <v>30</v>
      </c>
      <c r="F58">
        <v>29</v>
      </c>
      <c r="G58" s="12" t="str">
        <f t="shared" si="0"/>
        <v>25-29</v>
      </c>
      <c r="H58">
        <v>4</v>
      </c>
      <c r="I58">
        <v>1</v>
      </c>
      <c r="J58">
        <v>6</v>
      </c>
      <c r="K58" t="s">
        <v>22</v>
      </c>
      <c r="L58" t="s">
        <v>23</v>
      </c>
      <c r="M58">
        <v>3.97</v>
      </c>
      <c r="N58" t="s">
        <v>24</v>
      </c>
      <c r="O58" t="s">
        <v>25</v>
      </c>
      <c r="P58">
        <v>34054</v>
      </c>
      <c r="Q58">
        <v>5</v>
      </c>
      <c r="R58" t="s">
        <v>25</v>
      </c>
      <c r="S58" t="s">
        <v>26</v>
      </c>
    </row>
    <row r="59" spans="1:19" x14ac:dyDescent="0.3">
      <c r="A59" t="s">
        <v>137</v>
      </c>
      <c r="B59" s="9">
        <v>45379</v>
      </c>
      <c r="C59" t="s">
        <v>52</v>
      </c>
      <c r="D59" t="s">
        <v>64</v>
      </c>
      <c r="E59" t="s">
        <v>30</v>
      </c>
      <c r="F59">
        <v>47</v>
      </c>
      <c r="G59" s="12" t="str">
        <f t="shared" si="0"/>
        <v>45+</v>
      </c>
      <c r="H59">
        <v>2</v>
      </c>
      <c r="I59">
        <v>2</v>
      </c>
      <c r="J59">
        <v>4</v>
      </c>
      <c r="K59" t="s">
        <v>22</v>
      </c>
      <c r="L59" t="s">
        <v>23</v>
      </c>
      <c r="M59">
        <v>3.42</v>
      </c>
      <c r="N59" t="s">
        <v>24</v>
      </c>
      <c r="O59" t="s">
        <v>25</v>
      </c>
      <c r="P59">
        <v>72024</v>
      </c>
      <c r="Q59">
        <v>1</v>
      </c>
      <c r="R59" t="s">
        <v>25</v>
      </c>
      <c r="S59" t="s">
        <v>26</v>
      </c>
    </row>
    <row r="60" spans="1:19" x14ac:dyDescent="0.3">
      <c r="A60" t="s">
        <v>139</v>
      </c>
      <c r="B60" s="9">
        <v>45639</v>
      </c>
      <c r="C60" t="s">
        <v>59</v>
      </c>
      <c r="D60" t="s">
        <v>74</v>
      </c>
      <c r="E60" t="s">
        <v>33</v>
      </c>
      <c r="F60">
        <v>27</v>
      </c>
      <c r="G60" s="12" t="str">
        <f t="shared" si="0"/>
        <v>25-29</v>
      </c>
      <c r="H60">
        <v>7</v>
      </c>
      <c r="I60">
        <v>3</v>
      </c>
      <c r="J60">
        <v>4</v>
      </c>
      <c r="K60" t="s">
        <v>22</v>
      </c>
      <c r="L60" t="s">
        <v>23</v>
      </c>
      <c r="M60">
        <v>2.78</v>
      </c>
      <c r="N60" t="s">
        <v>24</v>
      </c>
      <c r="O60" t="s">
        <v>25</v>
      </c>
      <c r="P60">
        <v>86240</v>
      </c>
      <c r="Q60">
        <v>2</v>
      </c>
      <c r="R60" t="s">
        <v>25</v>
      </c>
      <c r="S60" t="s">
        <v>26</v>
      </c>
    </row>
    <row r="61" spans="1:19" x14ac:dyDescent="0.3">
      <c r="A61" t="s">
        <v>140</v>
      </c>
      <c r="B61" s="9">
        <v>45523</v>
      </c>
      <c r="C61" t="s">
        <v>35</v>
      </c>
      <c r="D61" t="s">
        <v>121</v>
      </c>
      <c r="E61" t="s">
        <v>30</v>
      </c>
      <c r="F61">
        <v>25</v>
      </c>
      <c r="G61" s="12" t="str">
        <f t="shared" si="0"/>
        <v>25-29</v>
      </c>
      <c r="H61">
        <v>3</v>
      </c>
      <c r="I61">
        <v>0</v>
      </c>
      <c r="J61">
        <v>6</v>
      </c>
      <c r="K61" t="s">
        <v>22</v>
      </c>
      <c r="L61" t="s">
        <v>23</v>
      </c>
      <c r="M61">
        <v>3.27</v>
      </c>
      <c r="N61" t="s">
        <v>24</v>
      </c>
      <c r="O61" t="s">
        <v>25</v>
      </c>
      <c r="P61">
        <v>85321</v>
      </c>
      <c r="Q61">
        <v>2</v>
      </c>
      <c r="R61" t="s">
        <v>25</v>
      </c>
      <c r="S61" t="s">
        <v>26</v>
      </c>
    </row>
    <row r="62" spans="1:19" x14ac:dyDescent="0.3">
      <c r="A62" t="s">
        <v>141</v>
      </c>
      <c r="B62" s="9">
        <v>45423</v>
      </c>
      <c r="C62" t="s">
        <v>19</v>
      </c>
      <c r="D62" t="s">
        <v>20</v>
      </c>
      <c r="E62" t="s">
        <v>33</v>
      </c>
      <c r="F62">
        <v>24</v>
      </c>
      <c r="G62" s="12" t="str">
        <f t="shared" si="0"/>
        <v>18-24</v>
      </c>
      <c r="H62">
        <v>7</v>
      </c>
      <c r="I62">
        <v>0</v>
      </c>
      <c r="J62">
        <v>3</v>
      </c>
      <c r="K62" t="s">
        <v>38</v>
      </c>
      <c r="L62" t="s">
        <v>23</v>
      </c>
      <c r="M62">
        <v>3.51</v>
      </c>
      <c r="N62" t="s">
        <v>24</v>
      </c>
      <c r="O62" t="s">
        <v>25</v>
      </c>
      <c r="P62">
        <v>160259</v>
      </c>
      <c r="Q62">
        <v>3</v>
      </c>
      <c r="R62" t="s">
        <v>26</v>
      </c>
      <c r="S62" t="s">
        <v>26</v>
      </c>
    </row>
    <row r="63" spans="1:19" x14ac:dyDescent="0.3">
      <c r="A63" t="s">
        <v>143</v>
      </c>
      <c r="B63" s="9">
        <v>45411</v>
      </c>
      <c r="C63" t="s">
        <v>19</v>
      </c>
      <c r="D63" t="s">
        <v>72</v>
      </c>
      <c r="E63" t="s">
        <v>54</v>
      </c>
      <c r="F63">
        <v>29</v>
      </c>
      <c r="G63" s="12" t="str">
        <f t="shared" si="0"/>
        <v>25-29</v>
      </c>
      <c r="H63">
        <v>4</v>
      </c>
      <c r="I63">
        <v>2</v>
      </c>
      <c r="J63">
        <v>7</v>
      </c>
      <c r="K63" t="s">
        <v>38</v>
      </c>
      <c r="L63" t="s">
        <v>23</v>
      </c>
      <c r="M63">
        <v>2.77</v>
      </c>
      <c r="N63" t="s">
        <v>50</v>
      </c>
      <c r="O63" t="s">
        <v>25</v>
      </c>
      <c r="P63">
        <v>158677</v>
      </c>
      <c r="Q63">
        <v>3</v>
      </c>
      <c r="R63" t="s">
        <v>25</v>
      </c>
      <c r="S63" t="s">
        <v>26</v>
      </c>
    </row>
    <row r="64" spans="1:19" x14ac:dyDescent="0.3">
      <c r="A64" t="s">
        <v>145</v>
      </c>
      <c r="B64" s="9">
        <v>45497</v>
      </c>
      <c r="C64" t="s">
        <v>35</v>
      </c>
      <c r="D64" t="s">
        <v>40</v>
      </c>
      <c r="E64" t="s">
        <v>21</v>
      </c>
      <c r="F64">
        <v>27</v>
      </c>
      <c r="G64" s="12" t="str">
        <f t="shared" si="0"/>
        <v>25-29</v>
      </c>
      <c r="H64">
        <v>5</v>
      </c>
      <c r="I64">
        <v>0</v>
      </c>
      <c r="J64">
        <v>7</v>
      </c>
      <c r="K64" t="s">
        <v>38</v>
      </c>
      <c r="L64" t="s">
        <v>23</v>
      </c>
      <c r="M64">
        <v>3.55</v>
      </c>
      <c r="N64" t="s">
        <v>102</v>
      </c>
      <c r="O64" t="s">
        <v>25</v>
      </c>
      <c r="P64">
        <v>165337</v>
      </c>
      <c r="Q64">
        <v>5</v>
      </c>
      <c r="R64" t="s">
        <v>25</v>
      </c>
      <c r="S64" t="s">
        <v>26</v>
      </c>
    </row>
    <row r="65" spans="1:19" x14ac:dyDescent="0.3">
      <c r="A65" t="s">
        <v>146</v>
      </c>
      <c r="B65" s="9">
        <v>45336</v>
      </c>
      <c r="C65" t="s">
        <v>28</v>
      </c>
      <c r="D65" t="s">
        <v>78</v>
      </c>
      <c r="E65" t="s">
        <v>75</v>
      </c>
      <c r="F65">
        <v>29</v>
      </c>
      <c r="G65" s="12" t="str">
        <f t="shared" si="0"/>
        <v>25-29</v>
      </c>
      <c r="H65">
        <v>1</v>
      </c>
      <c r="I65">
        <v>1</v>
      </c>
      <c r="J65">
        <v>6</v>
      </c>
      <c r="K65" t="s">
        <v>38</v>
      </c>
      <c r="L65" t="s">
        <v>23</v>
      </c>
      <c r="M65">
        <v>2.93</v>
      </c>
      <c r="N65" t="s">
        <v>24</v>
      </c>
      <c r="O65" t="s">
        <v>25</v>
      </c>
      <c r="P65">
        <v>153104</v>
      </c>
      <c r="Q65">
        <v>3</v>
      </c>
      <c r="R65" t="s">
        <v>25</v>
      </c>
      <c r="S65" t="s">
        <v>26</v>
      </c>
    </row>
    <row r="66" spans="1:19" x14ac:dyDescent="0.3">
      <c r="A66" t="s">
        <v>147</v>
      </c>
      <c r="B66" s="9">
        <v>45795</v>
      </c>
      <c r="C66" t="s">
        <v>28</v>
      </c>
      <c r="D66" t="s">
        <v>29</v>
      </c>
      <c r="E66" t="s">
        <v>21</v>
      </c>
      <c r="F66">
        <v>29</v>
      </c>
      <c r="G66" s="12" t="str">
        <f t="shared" si="0"/>
        <v>25-29</v>
      </c>
      <c r="H66">
        <v>6</v>
      </c>
      <c r="I66">
        <v>2</v>
      </c>
      <c r="J66">
        <v>6</v>
      </c>
      <c r="K66" t="s">
        <v>22</v>
      </c>
      <c r="L66" t="s">
        <v>23</v>
      </c>
      <c r="M66">
        <v>2.65</v>
      </c>
      <c r="N66" t="s">
        <v>24</v>
      </c>
      <c r="O66" t="s">
        <v>25</v>
      </c>
      <c r="P66">
        <v>117309</v>
      </c>
      <c r="Q66">
        <v>1</v>
      </c>
      <c r="R66" t="s">
        <v>25</v>
      </c>
      <c r="S66" t="s">
        <v>26</v>
      </c>
    </row>
    <row r="67" spans="1:19" x14ac:dyDescent="0.3">
      <c r="A67" t="s">
        <v>148</v>
      </c>
      <c r="B67" s="9">
        <v>45570</v>
      </c>
      <c r="C67" t="s">
        <v>59</v>
      </c>
      <c r="D67" t="s">
        <v>49</v>
      </c>
      <c r="E67" t="s">
        <v>37</v>
      </c>
      <c r="F67">
        <v>22</v>
      </c>
      <c r="G67" s="12" t="str">
        <f t="shared" ref="G67:G130" si="1">IF(F67&lt;25,"18-24",IF(F67&lt;30,"25-29",IF(F67&lt;35,"30-34",IF(F67&lt;40,"35-40",IF(F67&lt;45,"40-45","45+")))))</f>
        <v>18-24</v>
      </c>
      <c r="H67">
        <v>6</v>
      </c>
      <c r="I67">
        <v>3</v>
      </c>
      <c r="J67">
        <v>7</v>
      </c>
      <c r="K67" t="s">
        <v>22</v>
      </c>
      <c r="L67" t="s">
        <v>23</v>
      </c>
      <c r="M67">
        <v>3.54</v>
      </c>
      <c r="N67" t="s">
        <v>94</v>
      </c>
      <c r="O67" t="s">
        <v>25</v>
      </c>
      <c r="P67">
        <v>160602</v>
      </c>
      <c r="Q67">
        <v>4</v>
      </c>
      <c r="R67" t="s">
        <v>25</v>
      </c>
      <c r="S67" t="s">
        <v>26</v>
      </c>
    </row>
    <row r="68" spans="1:19" x14ac:dyDescent="0.3">
      <c r="A68" t="s">
        <v>149</v>
      </c>
      <c r="B68" s="9">
        <v>45382</v>
      </c>
      <c r="C68" t="s">
        <v>28</v>
      </c>
      <c r="D68" t="s">
        <v>29</v>
      </c>
      <c r="E68" t="s">
        <v>75</v>
      </c>
      <c r="F68">
        <v>28</v>
      </c>
      <c r="G68" s="12" t="str">
        <f t="shared" si="1"/>
        <v>25-29</v>
      </c>
      <c r="H68">
        <v>4</v>
      </c>
      <c r="I68">
        <v>3</v>
      </c>
      <c r="J68">
        <v>3</v>
      </c>
      <c r="K68" t="s">
        <v>38</v>
      </c>
      <c r="L68" t="s">
        <v>23</v>
      </c>
      <c r="M68">
        <v>3.14</v>
      </c>
      <c r="N68" t="s">
        <v>24</v>
      </c>
      <c r="O68" t="s">
        <v>25</v>
      </c>
      <c r="P68">
        <v>128070</v>
      </c>
      <c r="Q68">
        <v>5</v>
      </c>
      <c r="R68" t="s">
        <v>25</v>
      </c>
      <c r="S68" t="s">
        <v>26</v>
      </c>
    </row>
    <row r="69" spans="1:19" x14ac:dyDescent="0.3">
      <c r="A69" t="s">
        <v>150</v>
      </c>
      <c r="B69" s="9">
        <v>45626</v>
      </c>
      <c r="C69" t="s">
        <v>59</v>
      </c>
      <c r="D69" t="s">
        <v>74</v>
      </c>
      <c r="E69" t="s">
        <v>54</v>
      </c>
      <c r="F69">
        <v>28</v>
      </c>
      <c r="G69" s="12" t="str">
        <f t="shared" si="1"/>
        <v>25-29</v>
      </c>
      <c r="H69">
        <v>7</v>
      </c>
      <c r="I69">
        <v>3</v>
      </c>
      <c r="J69">
        <v>3</v>
      </c>
      <c r="K69" t="s">
        <v>22</v>
      </c>
      <c r="L69" t="s">
        <v>23</v>
      </c>
      <c r="M69">
        <v>2.92</v>
      </c>
      <c r="N69" t="s">
        <v>24</v>
      </c>
      <c r="O69" t="s">
        <v>25</v>
      </c>
      <c r="P69">
        <v>75323</v>
      </c>
      <c r="Q69">
        <v>1</v>
      </c>
      <c r="R69" t="s">
        <v>25</v>
      </c>
      <c r="S69" t="s">
        <v>26</v>
      </c>
    </row>
    <row r="70" spans="1:19" x14ac:dyDescent="0.3">
      <c r="A70" t="s">
        <v>151</v>
      </c>
      <c r="B70" s="9">
        <v>45489</v>
      </c>
      <c r="C70" t="s">
        <v>59</v>
      </c>
      <c r="D70" t="s">
        <v>74</v>
      </c>
      <c r="E70" t="s">
        <v>21</v>
      </c>
      <c r="F70">
        <v>24</v>
      </c>
      <c r="G70" s="12" t="str">
        <f t="shared" si="1"/>
        <v>18-24</v>
      </c>
      <c r="H70">
        <v>3</v>
      </c>
      <c r="I70">
        <v>2</v>
      </c>
      <c r="J70">
        <v>5</v>
      </c>
      <c r="K70" t="s">
        <v>22</v>
      </c>
      <c r="L70" t="s">
        <v>23</v>
      </c>
      <c r="M70">
        <v>3.23</v>
      </c>
      <c r="N70" t="s">
        <v>50</v>
      </c>
      <c r="O70" t="s">
        <v>25</v>
      </c>
      <c r="P70">
        <v>52326</v>
      </c>
      <c r="Q70">
        <v>1</v>
      </c>
      <c r="R70" t="s">
        <v>26</v>
      </c>
      <c r="S70" t="s">
        <v>26</v>
      </c>
    </row>
    <row r="71" spans="1:19" x14ac:dyDescent="0.3">
      <c r="A71" t="s">
        <v>152</v>
      </c>
      <c r="B71" s="9">
        <v>45477</v>
      </c>
      <c r="C71" t="s">
        <v>52</v>
      </c>
      <c r="D71" t="s">
        <v>64</v>
      </c>
      <c r="E71" t="s">
        <v>75</v>
      </c>
      <c r="F71">
        <v>30</v>
      </c>
      <c r="G71" s="12" t="str">
        <f t="shared" si="1"/>
        <v>30-34</v>
      </c>
      <c r="H71">
        <v>4</v>
      </c>
      <c r="I71">
        <v>4</v>
      </c>
      <c r="J71">
        <v>2</v>
      </c>
      <c r="K71" t="s">
        <v>38</v>
      </c>
      <c r="L71" t="s">
        <v>23</v>
      </c>
      <c r="M71">
        <v>2.33</v>
      </c>
      <c r="N71" t="s">
        <v>50</v>
      </c>
      <c r="O71" t="s">
        <v>25</v>
      </c>
      <c r="P71">
        <v>127038</v>
      </c>
      <c r="Q71">
        <v>3</v>
      </c>
      <c r="R71" t="s">
        <v>25</v>
      </c>
      <c r="S71" t="s">
        <v>26</v>
      </c>
    </row>
    <row r="72" spans="1:19" x14ac:dyDescent="0.3">
      <c r="A72" t="s">
        <v>153</v>
      </c>
      <c r="B72" s="9">
        <v>45729</v>
      </c>
      <c r="C72" t="s">
        <v>52</v>
      </c>
      <c r="D72" t="s">
        <v>64</v>
      </c>
      <c r="E72" t="s">
        <v>30</v>
      </c>
      <c r="F72">
        <v>30</v>
      </c>
      <c r="G72" s="12" t="str">
        <f t="shared" si="1"/>
        <v>30-34</v>
      </c>
      <c r="H72">
        <v>6</v>
      </c>
      <c r="I72">
        <v>1</v>
      </c>
      <c r="J72">
        <v>7</v>
      </c>
      <c r="K72" t="s">
        <v>22</v>
      </c>
      <c r="L72" t="s">
        <v>23</v>
      </c>
      <c r="M72">
        <v>3.57</v>
      </c>
      <c r="N72" t="s">
        <v>24</v>
      </c>
      <c r="O72" t="s">
        <v>25</v>
      </c>
      <c r="P72">
        <v>61001</v>
      </c>
      <c r="Q72">
        <v>1</v>
      </c>
      <c r="R72" t="s">
        <v>25</v>
      </c>
      <c r="S72" t="s">
        <v>26</v>
      </c>
    </row>
    <row r="73" spans="1:19" x14ac:dyDescent="0.3">
      <c r="A73" t="s">
        <v>154</v>
      </c>
      <c r="B73" s="9">
        <v>45416</v>
      </c>
      <c r="C73" t="s">
        <v>28</v>
      </c>
      <c r="D73" t="s">
        <v>124</v>
      </c>
      <c r="E73" t="s">
        <v>30</v>
      </c>
      <c r="F73">
        <v>23</v>
      </c>
      <c r="G73" s="12" t="str">
        <f t="shared" si="1"/>
        <v>18-24</v>
      </c>
      <c r="H73">
        <v>3</v>
      </c>
      <c r="I73">
        <v>3</v>
      </c>
      <c r="J73">
        <v>4</v>
      </c>
      <c r="K73" t="s">
        <v>22</v>
      </c>
      <c r="L73" t="s">
        <v>23</v>
      </c>
      <c r="M73">
        <v>2.94</v>
      </c>
      <c r="N73" t="s">
        <v>24</v>
      </c>
      <c r="O73" t="s">
        <v>25</v>
      </c>
      <c r="P73">
        <v>73067</v>
      </c>
      <c r="Q73">
        <v>1</v>
      </c>
      <c r="R73" t="s">
        <v>25</v>
      </c>
      <c r="S73" t="s">
        <v>26</v>
      </c>
    </row>
    <row r="74" spans="1:19" x14ac:dyDescent="0.3">
      <c r="A74" t="s">
        <v>155</v>
      </c>
      <c r="B74" s="9">
        <v>45905</v>
      </c>
      <c r="C74" t="s">
        <v>28</v>
      </c>
      <c r="D74" t="s">
        <v>78</v>
      </c>
      <c r="E74" t="s">
        <v>75</v>
      </c>
      <c r="F74">
        <v>31</v>
      </c>
      <c r="G74" s="12" t="str">
        <f t="shared" si="1"/>
        <v>30-34</v>
      </c>
      <c r="H74">
        <v>2</v>
      </c>
      <c r="I74">
        <v>0</v>
      </c>
      <c r="J74">
        <v>8</v>
      </c>
      <c r="K74" t="s">
        <v>38</v>
      </c>
      <c r="L74" t="s">
        <v>23</v>
      </c>
      <c r="M74">
        <v>3.04</v>
      </c>
      <c r="N74" t="s">
        <v>24</v>
      </c>
      <c r="O74" t="s">
        <v>25</v>
      </c>
      <c r="P74">
        <v>155042</v>
      </c>
      <c r="Q74">
        <v>5</v>
      </c>
      <c r="R74" t="s">
        <v>25</v>
      </c>
      <c r="S74" t="s">
        <v>26</v>
      </c>
    </row>
    <row r="75" spans="1:19" x14ac:dyDescent="0.3">
      <c r="A75" t="s">
        <v>156</v>
      </c>
      <c r="B75" s="9">
        <v>45349</v>
      </c>
      <c r="C75" t="s">
        <v>19</v>
      </c>
      <c r="D75" t="s">
        <v>72</v>
      </c>
      <c r="E75" t="s">
        <v>37</v>
      </c>
      <c r="F75">
        <v>26</v>
      </c>
      <c r="G75" s="12" t="str">
        <f t="shared" si="1"/>
        <v>25-29</v>
      </c>
      <c r="H75">
        <v>3</v>
      </c>
      <c r="I75">
        <v>1</v>
      </c>
      <c r="J75">
        <v>5</v>
      </c>
      <c r="K75" t="s">
        <v>38</v>
      </c>
      <c r="L75" t="s">
        <v>23</v>
      </c>
      <c r="M75">
        <v>3.11</v>
      </c>
      <c r="N75" t="s">
        <v>50</v>
      </c>
      <c r="O75" t="s">
        <v>25</v>
      </c>
      <c r="P75">
        <v>67441</v>
      </c>
      <c r="Q75">
        <v>1</v>
      </c>
      <c r="R75" t="s">
        <v>26</v>
      </c>
      <c r="S75" t="s">
        <v>26</v>
      </c>
    </row>
    <row r="76" spans="1:19" x14ac:dyDescent="0.3">
      <c r="A76" t="s">
        <v>157</v>
      </c>
      <c r="B76" s="9">
        <v>45642</v>
      </c>
      <c r="C76" t="s">
        <v>35</v>
      </c>
      <c r="D76" t="s">
        <v>45</v>
      </c>
      <c r="E76" t="s">
        <v>54</v>
      </c>
      <c r="F76">
        <v>29</v>
      </c>
      <c r="G76" s="12" t="str">
        <f t="shared" si="1"/>
        <v>25-29</v>
      </c>
      <c r="H76">
        <v>6</v>
      </c>
      <c r="I76">
        <v>3</v>
      </c>
      <c r="J76">
        <v>5</v>
      </c>
      <c r="K76" t="s">
        <v>22</v>
      </c>
      <c r="L76" t="s">
        <v>23</v>
      </c>
      <c r="M76">
        <v>3.9</v>
      </c>
      <c r="N76" t="s">
        <v>24</v>
      </c>
      <c r="O76" t="s">
        <v>25</v>
      </c>
      <c r="P76">
        <v>88981</v>
      </c>
      <c r="Q76">
        <v>5</v>
      </c>
      <c r="R76" t="s">
        <v>25</v>
      </c>
      <c r="S76" t="s">
        <v>26</v>
      </c>
    </row>
    <row r="77" spans="1:19" x14ac:dyDescent="0.3">
      <c r="A77" t="s">
        <v>158</v>
      </c>
      <c r="B77" s="9">
        <v>45996</v>
      </c>
      <c r="C77" t="s">
        <v>19</v>
      </c>
      <c r="D77" t="s">
        <v>57</v>
      </c>
      <c r="E77" t="s">
        <v>21</v>
      </c>
      <c r="F77">
        <v>25</v>
      </c>
      <c r="G77" s="12" t="str">
        <f t="shared" si="1"/>
        <v>25-29</v>
      </c>
      <c r="H77">
        <v>7</v>
      </c>
      <c r="I77">
        <v>3</v>
      </c>
      <c r="J77">
        <v>6</v>
      </c>
      <c r="K77" t="s">
        <v>22</v>
      </c>
      <c r="L77" t="s">
        <v>23</v>
      </c>
      <c r="M77">
        <v>3.2</v>
      </c>
      <c r="N77" t="s">
        <v>24</v>
      </c>
      <c r="O77" t="s">
        <v>25</v>
      </c>
      <c r="P77">
        <v>55789</v>
      </c>
      <c r="Q77">
        <v>1</v>
      </c>
      <c r="R77" t="s">
        <v>25</v>
      </c>
      <c r="S77" t="s">
        <v>26</v>
      </c>
    </row>
    <row r="78" spans="1:19" x14ac:dyDescent="0.3">
      <c r="A78" t="s">
        <v>159</v>
      </c>
      <c r="B78" s="9">
        <v>45720</v>
      </c>
      <c r="C78" t="s">
        <v>52</v>
      </c>
      <c r="D78" t="s">
        <v>111</v>
      </c>
      <c r="E78" t="s">
        <v>37</v>
      </c>
      <c r="F78">
        <v>24</v>
      </c>
      <c r="G78" s="12" t="str">
        <f t="shared" si="1"/>
        <v>18-24</v>
      </c>
      <c r="H78">
        <v>7</v>
      </c>
      <c r="I78">
        <v>4</v>
      </c>
      <c r="J78">
        <v>3</v>
      </c>
      <c r="K78" t="s">
        <v>38</v>
      </c>
      <c r="L78" t="s">
        <v>23</v>
      </c>
      <c r="M78">
        <v>1.93</v>
      </c>
      <c r="N78" t="s">
        <v>24</v>
      </c>
      <c r="O78" t="s">
        <v>25</v>
      </c>
      <c r="P78">
        <v>131856</v>
      </c>
      <c r="Q78">
        <v>2</v>
      </c>
      <c r="R78" t="s">
        <v>25</v>
      </c>
      <c r="S78" t="s">
        <v>26</v>
      </c>
    </row>
    <row r="79" spans="1:19" x14ac:dyDescent="0.3">
      <c r="A79" t="s">
        <v>160</v>
      </c>
      <c r="B79" s="9">
        <v>45733</v>
      </c>
      <c r="C79" t="s">
        <v>28</v>
      </c>
      <c r="D79" t="s">
        <v>78</v>
      </c>
      <c r="E79" t="s">
        <v>75</v>
      </c>
      <c r="F79">
        <v>29</v>
      </c>
      <c r="G79" s="12" t="str">
        <f t="shared" si="1"/>
        <v>25-29</v>
      </c>
      <c r="H79">
        <v>7</v>
      </c>
      <c r="I79">
        <v>4</v>
      </c>
      <c r="J79">
        <v>5</v>
      </c>
      <c r="K79" t="s">
        <v>22</v>
      </c>
      <c r="L79" t="s">
        <v>23</v>
      </c>
      <c r="M79">
        <v>4.13</v>
      </c>
      <c r="N79" t="s">
        <v>24</v>
      </c>
      <c r="O79" t="s">
        <v>25</v>
      </c>
      <c r="P79">
        <v>88760</v>
      </c>
      <c r="Q79">
        <v>1</v>
      </c>
      <c r="R79" t="s">
        <v>25</v>
      </c>
      <c r="S79" t="s">
        <v>26</v>
      </c>
    </row>
    <row r="80" spans="1:19" x14ac:dyDescent="0.3">
      <c r="A80" t="s">
        <v>161</v>
      </c>
      <c r="B80" s="9">
        <v>45539</v>
      </c>
      <c r="C80" t="s">
        <v>28</v>
      </c>
      <c r="D80" t="s">
        <v>70</v>
      </c>
      <c r="E80" t="s">
        <v>54</v>
      </c>
      <c r="F80">
        <v>24</v>
      </c>
      <c r="G80" s="12" t="str">
        <f t="shared" si="1"/>
        <v>18-24</v>
      </c>
      <c r="H80">
        <v>5</v>
      </c>
      <c r="I80">
        <v>5</v>
      </c>
      <c r="J80">
        <v>5</v>
      </c>
      <c r="K80" t="s">
        <v>22</v>
      </c>
      <c r="L80" t="s">
        <v>23</v>
      </c>
      <c r="M80">
        <v>2.37</v>
      </c>
      <c r="N80" t="s">
        <v>50</v>
      </c>
      <c r="O80" t="s">
        <v>25</v>
      </c>
      <c r="P80">
        <v>110786</v>
      </c>
      <c r="Q80">
        <v>3</v>
      </c>
      <c r="R80" t="s">
        <v>26</v>
      </c>
      <c r="S80" t="s">
        <v>26</v>
      </c>
    </row>
    <row r="81" spans="1:19" x14ac:dyDescent="0.3">
      <c r="A81" t="s">
        <v>162</v>
      </c>
      <c r="B81" s="9">
        <v>45589</v>
      </c>
      <c r="C81" t="s">
        <v>28</v>
      </c>
      <c r="D81" t="s">
        <v>87</v>
      </c>
      <c r="E81" t="s">
        <v>30</v>
      </c>
      <c r="F81">
        <v>26</v>
      </c>
      <c r="G81" s="12" t="str">
        <f t="shared" si="1"/>
        <v>25-29</v>
      </c>
      <c r="H81">
        <v>2</v>
      </c>
      <c r="I81">
        <v>0</v>
      </c>
      <c r="J81">
        <v>1</v>
      </c>
      <c r="K81" t="s">
        <v>22</v>
      </c>
      <c r="L81" t="s">
        <v>23</v>
      </c>
      <c r="M81">
        <v>3.84</v>
      </c>
      <c r="N81" t="s">
        <v>24</v>
      </c>
      <c r="O81" t="s">
        <v>25</v>
      </c>
      <c r="P81">
        <v>62136</v>
      </c>
      <c r="Q81">
        <v>3</v>
      </c>
      <c r="R81" t="s">
        <v>26</v>
      </c>
      <c r="S81" t="s">
        <v>26</v>
      </c>
    </row>
    <row r="82" spans="1:19" x14ac:dyDescent="0.3">
      <c r="A82" t="s">
        <v>163</v>
      </c>
      <c r="B82" s="9">
        <v>45729</v>
      </c>
      <c r="C82" t="s">
        <v>35</v>
      </c>
      <c r="D82" t="s">
        <v>87</v>
      </c>
      <c r="E82" t="s">
        <v>21</v>
      </c>
      <c r="F82">
        <v>21</v>
      </c>
      <c r="G82" s="12" t="str">
        <f t="shared" si="1"/>
        <v>18-24</v>
      </c>
      <c r="H82">
        <v>1</v>
      </c>
      <c r="I82">
        <v>0</v>
      </c>
      <c r="J82">
        <v>3</v>
      </c>
      <c r="K82" t="s">
        <v>38</v>
      </c>
      <c r="L82" t="s">
        <v>23</v>
      </c>
      <c r="M82">
        <v>3.1</v>
      </c>
      <c r="N82" t="s">
        <v>50</v>
      </c>
      <c r="O82" t="s">
        <v>25</v>
      </c>
      <c r="P82">
        <v>146174</v>
      </c>
      <c r="Q82">
        <v>3</v>
      </c>
      <c r="R82" t="s">
        <v>25</v>
      </c>
      <c r="S82" t="s">
        <v>26</v>
      </c>
    </row>
    <row r="83" spans="1:19" x14ac:dyDescent="0.3">
      <c r="A83" t="s">
        <v>164</v>
      </c>
      <c r="B83" s="9">
        <v>45608</v>
      </c>
      <c r="C83" t="s">
        <v>28</v>
      </c>
      <c r="D83" t="s">
        <v>78</v>
      </c>
      <c r="E83" t="s">
        <v>37</v>
      </c>
      <c r="F83">
        <v>32</v>
      </c>
      <c r="G83" s="12" t="str">
        <f t="shared" si="1"/>
        <v>30-34</v>
      </c>
      <c r="H83">
        <v>6</v>
      </c>
      <c r="I83">
        <v>1</v>
      </c>
      <c r="J83">
        <v>2</v>
      </c>
      <c r="K83" t="s">
        <v>38</v>
      </c>
      <c r="L83" t="s">
        <v>23</v>
      </c>
      <c r="M83">
        <v>3.02</v>
      </c>
      <c r="N83" t="s">
        <v>24</v>
      </c>
      <c r="O83" t="s">
        <v>25</v>
      </c>
      <c r="P83">
        <v>148007</v>
      </c>
      <c r="Q83">
        <v>4</v>
      </c>
      <c r="R83" t="s">
        <v>26</v>
      </c>
      <c r="S83" t="s">
        <v>26</v>
      </c>
    </row>
    <row r="84" spans="1:19" x14ac:dyDescent="0.3">
      <c r="A84" t="s">
        <v>166</v>
      </c>
      <c r="B84" s="9">
        <v>45846</v>
      </c>
      <c r="C84" t="s">
        <v>28</v>
      </c>
      <c r="D84" t="s">
        <v>124</v>
      </c>
      <c r="E84" t="s">
        <v>33</v>
      </c>
      <c r="F84">
        <v>32</v>
      </c>
      <c r="G84" s="12" t="str">
        <f t="shared" si="1"/>
        <v>30-34</v>
      </c>
      <c r="H84">
        <v>4</v>
      </c>
      <c r="I84">
        <v>0</v>
      </c>
      <c r="J84">
        <v>2</v>
      </c>
      <c r="K84" t="s">
        <v>22</v>
      </c>
      <c r="L84" t="s">
        <v>23</v>
      </c>
      <c r="M84">
        <v>2.2599999999999998</v>
      </c>
      <c r="N84" t="s">
        <v>24</v>
      </c>
      <c r="O84" t="s">
        <v>25</v>
      </c>
      <c r="P84">
        <v>96941</v>
      </c>
      <c r="Q84">
        <v>2</v>
      </c>
      <c r="R84" t="s">
        <v>25</v>
      </c>
      <c r="S84" t="s">
        <v>26</v>
      </c>
    </row>
    <row r="85" spans="1:19" x14ac:dyDescent="0.3">
      <c r="A85" t="s">
        <v>167</v>
      </c>
      <c r="B85" s="9">
        <v>45528</v>
      </c>
      <c r="C85" t="s">
        <v>59</v>
      </c>
      <c r="D85" t="s">
        <v>91</v>
      </c>
      <c r="E85" t="s">
        <v>30</v>
      </c>
      <c r="F85">
        <v>25</v>
      </c>
      <c r="G85" s="12" t="str">
        <f t="shared" si="1"/>
        <v>25-29</v>
      </c>
      <c r="H85">
        <v>5</v>
      </c>
      <c r="I85">
        <v>0</v>
      </c>
      <c r="J85">
        <v>8</v>
      </c>
      <c r="K85" t="s">
        <v>38</v>
      </c>
      <c r="L85" t="s">
        <v>23</v>
      </c>
      <c r="M85">
        <v>0.65</v>
      </c>
      <c r="N85" t="s">
        <v>24</v>
      </c>
      <c r="O85" t="s">
        <v>25</v>
      </c>
      <c r="P85">
        <v>174482</v>
      </c>
      <c r="Q85">
        <v>4</v>
      </c>
      <c r="R85" t="s">
        <v>26</v>
      </c>
      <c r="S85" t="s">
        <v>26</v>
      </c>
    </row>
    <row r="86" spans="1:19" x14ac:dyDescent="0.3">
      <c r="A86" t="s">
        <v>168</v>
      </c>
      <c r="B86" s="9">
        <v>45825</v>
      </c>
      <c r="C86" t="s">
        <v>28</v>
      </c>
      <c r="D86" t="s">
        <v>70</v>
      </c>
      <c r="E86" t="s">
        <v>30</v>
      </c>
      <c r="F86">
        <v>39</v>
      </c>
      <c r="G86" s="12" t="str">
        <f t="shared" si="1"/>
        <v>35-40</v>
      </c>
      <c r="H86">
        <v>7</v>
      </c>
      <c r="I86">
        <v>5</v>
      </c>
      <c r="J86">
        <v>8</v>
      </c>
      <c r="K86" t="s">
        <v>38</v>
      </c>
      <c r="L86" t="s">
        <v>23</v>
      </c>
      <c r="M86">
        <v>2.96</v>
      </c>
      <c r="N86" t="s">
        <v>94</v>
      </c>
      <c r="O86" t="s">
        <v>25</v>
      </c>
      <c r="P86">
        <v>169289</v>
      </c>
      <c r="Q86">
        <v>4</v>
      </c>
      <c r="R86" t="s">
        <v>26</v>
      </c>
      <c r="S86" t="s">
        <v>26</v>
      </c>
    </row>
    <row r="87" spans="1:19" x14ac:dyDescent="0.3">
      <c r="A87" t="s">
        <v>169</v>
      </c>
      <c r="B87" s="9">
        <v>45712</v>
      </c>
      <c r="C87" t="s">
        <v>59</v>
      </c>
      <c r="D87" t="s">
        <v>49</v>
      </c>
      <c r="E87" t="s">
        <v>75</v>
      </c>
      <c r="F87">
        <v>34</v>
      </c>
      <c r="G87" s="12" t="str">
        <f t="shared" si="1"/>
        <v>30-34</v>
      </c>
      <c r="H87">
        <v>2</v>
      </c>
      <c r="I87">
        <v>2</v>
      </c>
      <c r="J87">
        <v>3</v>
      </c>
      <c r="K87" t="s">
        <v>22</v>
      </c>
      <c r="L87" t="s">
        <v>23</v>
      </c>
      <c r="M87">
        <v>3.48</v>
      </c>
      <c r="N87" t="s">
        <v>171</v>
      </c>
      <c r="O87" t="s">
        <v>25</v>
      </c>
      <c r="P87">
        <v>91460</v>
      </c>
      <c r="Q87">
        <v>1</v>
      </c>
      <c r="R87" t="s">
        <v>25</v>
      </c>
      <c r="S87" t="s">
        <v>26</v>
      </c>
    </row>
    <row r="88" spans="1:19" x14ac:dyDescent="0.3">
      <c r="A88" t="s">
        <v>172</v>
      </c>
      <c r="B88" s="9">
        <v>45857</v>
      </c>
      <c r="C88" t="s">
        <v>35</v>
      </c>
      <c r="D88" t="s">
        <v>40</v>
      </c>
      <c r="E88" t="s">
        <v>21</v>
      </c>
      <c r="F88">
        <v>23</v>
      </c>
      <c r="G88" s="12" t="str">
        <f t="shared" si="1"/>
        <v>18-24</v>
      </c>
      <c r="H88">
        <v>7</v>
      </c>
      <c r="I88">
        <v>1</v>
      </c>
      <c r="K88" t="s">
        <v>22</v>
      </c>
      <c r="L88" t="s">
        <v>23</v>
      </c>
      <c r="M88">
        <v>2.95</v>
      </c>
      <c r="N88" t="s">
        <v>24</v>
      </c>
      <c r="O88" t="s">
        <v>25</v>
      </c>
      <c r="P88">
        <v>82938</v>
      </c>
      <c r="Q88">
        <v>4</v>
      </c>
      <c r="R88" t="s">
        <v>25</v>
      </c>
      <c r="S88" t="s">
        <v>25</v>
      </c>
    </row>
    <row r="89" spans="1:19" x14ac:dyDescent="0.3">
      <c r="A89" t="s">
        <v>173</v>
      </c>
      <c r="B89" s="9">
        <v>45295</v>
      </c>
      <c r="C89" t="s">
        <v>59</v>
      </c>
      <c r="D89" t="s">
        <v>91</v>
      </c>
      <c r="E89" t="s">
        <v>30</v>
      </c>
      <c r="F89">
        <v>29</v>
      </c>
      <c r="G89" s="12" t="str">
        <f t="shared" si="1"/>
        <v>25-29</v>
      </c>
      <c r="H89">
        <v>3</v>
      </c>
      <c r="I89">
        <v>2</v>
      </c>
      <c r="J89">
        <v>8</v>
      </c>
      <c r="K89" t="s">
        <v>22</v>
      </c>
      <c r="L89" t="s">
        <v>42</v>
      </c>
      <c r="M89">
        <v>2.34</v>
      </c>
      <c r="N89" t="s">
        <v>24</v>
      </c>
      <c r="O89" t="s">
        <v>25</v>
      </c>
      <c r="P89">
        <v>22415</v>
      </c>
      <c r="Q89">
        <v>1</v>
      </c>
      <c r="R89" t="s">
        <v>25</v>
      </c>
      <c r="S89" t="s">
        <v>26</v>
      </c>
    </row>
    <row r="90" spans="1:19" x14ac:dyDescent="0.3">
      <c r="A90" t="s">
        <v>174</v>
      </c>
      <c r="B90" s="9">
        <v>45346</v>
      </c>
      <c r="C90" t="s">
        <v>28</v>
      </c>
      <c r="D90" t="s">
        <v>29</v>
      </c>
      <c r="E90" t="s">
        <v>54</v>
      </c>
      <c r="F90">
        <v>30</v>
      </c>
      <c r="G90" s="12" t="str">
        <f t="shared" si="1"/>
        <v>30-34</v>
      </c>
      <c r="H90">
        <v>4</v>
      </c>
      <c r="I90">
        <v>0</v>
      </c>
      <c r="J90">
        <v>4</v>
      </c>
      <c r="K90" t="s">
        <v>22</v>
      </c>
      <c r="L90" t="s">
        <v>23</v>
      </c>
      <c r="M90">
        <v>1.96</v>
      </c>
      <c r="N90" t="s">
        <v>94</v>
      </c>
      <c r="O90" t="s">
        <v>25</v>
      </c>
      <c r="P90">
        <v>62771</v>
      </c>
      <c r="Q90">
        <v>1</v>
      </c>
      <c r="R90" t="s">
        <v>25</v>
      </c>
      <c r="S90" t="s">
        <v>26</v>
      </c>
    </row>
    <row r="91" spans="1:19" x14ac:dyDescent="0.3">
      <c r="A91" t="s">
        <v>175</v>
      </c>
      <c r="B91" s="9">
        <v>45539</v>
      </c>
      <c r="C91" t="s">
        <v>35</v>
      </c>
      <c r="D91" t="s">
        <v>45</v>
      </c>
      <c r="E91" t="s">
        <v>30</v>
      </c>
      <c r="F91">
        <v>32</v>
      </c>
      <c r="G91" s="12" t="str">
        <f t="shared" si="1"/>
        <v>30-34</v>
      </c>
      <c r="H91">
        <v>3</v>
      </c>
      <c r="I91">
        <v>3</v>
      </c>
      <c r="J91">
        <v>5</v>
      </c>
      <c r="K91" t="s">
        <v>38</v>
      </c>
      <c r="L91" t="s">
        <v>23</v>
      </c>
      <c r="M91">
        <v>2.58</v>
      </c>
      <c r="N91" t="s">
        <v>24</v>
      </c>
      <c r="O91" t="s">
        <v>25</v>
      </c>
      <c r="P91">
        <v>132153</v>
      </c>
      <c r="Q91">
        <v>2</v>
      </c>
      <c r="R91" t="s">
        <v>25</v>
      </c>
      <c r="S91" t="s">
        <v>26</v>
      </c>
    </row>
    <row r="92" spans="1:19" x14ac:dyDescent="0.3">
      <c r="A92" t="s">
        <v>177</v>
      </c>
      <c r="B92" s="9">
        <v>45766</v>
      </c>
      <c r="C92" t="s">
        <v>52</v>
      </c>
      <c r="D92" t="s">
        <v>87</v>
      </c>
      <c r="E92" t="s">
        <v>21</v>
      </c>
      <c r="F92">
        <v>28</v>
      </c>
      <c r="G92" s="12" t="str">
        <f t="shared" si="1"/>
        <v>25-29</v>
      </c>
      <c r="H92">
        <v>5</v>
      </c>
      <c r="I92">
        <v>0</v>
      </c>
      <c r="K92" t="s">
        <v>22</v>
      </c>
      <c r="L92" t="s">
        <v>23</v>
      </c>
      <c r="M92">
        <v>2.56</v>
      </c>
      <c r="N92" t="s">
        <v>171</v>
      </c>
      <c r="O92" t="s">
        <v>25</v>
      </c>
      <c r="P92">
        <v>77601</v>
      </c>
      <c r="Q92">
        <v>1</v>
      </c>
      <c r="R92" t="s">
        <v>25</v>
      </c>
      <c r="S92" t="s">
        <v>26</v>
      </c>
    </row>
    <row r="93" spans="1:19" x14ac:dyDescent="0.3">
      <c r="A93" t="s">
        <v>178</v>
      </c>
      <c r="B93" s="9">
        <v>45543</v>
      </c>
      <c r="C93" t="s">
        <v>52</v>
      </c>
      <c r="D93" t="s">
        <v>64</v>
      </c>
      <c r="E93" t="s">
        <v>33</v>
      </c>
      <c r="F93">
        <v>25</v>
      </c>
      <c r="G93" s="12" t="str">
        <f t="shared" si="1"/>
        <v>25-29</v>
      </c>
      <c r="H93">
        <v>6</v>
      </c>
      <c r="I93">
        <v>2</v>
      </c>
      <c r="J93">
        <v>4</v>
      </c>
      <c r="K93" t="s">
        <v>22</v>
      </c>
      <c r="L93" t="s">
        <v>23</v>
      </c>
      <c r="M93">
        <v>2.5299999999999998</v>
      </c>
      <c r="N93" t="s">
        <v>102</v>
      </c>
      <c r="O93" t="s">
        <v>25</v>
      </c>
      <c r="P93">
        <v>51158</v>
      </c>
      <c r="Q93">
        <v>1</v>
      </c>
      <c r="R93" t="s">
        <v>25</v>
      </c>
      <c r="S93" t="s">
        <v>26</v>
      </c>
    </row>
    <row r="94" spans="1:19" x14ac:dyDescent="0.3">
      <c r="A94" t="s">
        <v>179</v>
      </c>
      <c r="B94" s="9">
        <v>45576</v>
      </c>
      <c r="C94" t="s">
        <v>28</v>
      </c>
      <c r="D94" t="s">
        <v>78</v>
      </c>
      <c r="E94" t="s">
        <v>33</v>
      </c>
      <c r="F94">
        <v>38</v>
      </c>
      <c r="G94" s="12" t="str">
        <f t="shared" si="1"/>
        <v>35-40</v>
      </c>
      <c r="H94">
        <v>4</v>
      </c>
      <c r="I94">
        <v>1</v>
      </c>
      <c r="J94">
        <v>5</v>
      </c>
      <c r="K94" t="s">
        <v>38</v>
      </c>
      <c r="L94" t="s">
        <v>23</v>
      </c>
      <c r="M94">
        <v>2.72</v>
      </c>
      <c r="N94" t="s">
        <v>102</v>
      </c>
      <c r="O94" t="s">
        <v>25</v>
      </c>
      <c r="P94">
        <v>150349</v>
      </c>
      <c r="Q94">
        <v>3</v>
      </c>
      <c r="R94" t="s">
        <v>25</v>
      </c>
      <c r="S94" t="s">
        <v>26</v>
      </c>
    </row>
    <row r="95" spans="1:19" x14ac:dyDescent="0.3">
      <c r="A95" t="s">
        <v>180</v>
      </c>
      <c r="B95" s="9">
        <v>45795</v>
      </c>
      <c r="C95" t="s">
        <v>35</v>
      </c>
      <c r="D95" t="s">
        <v>36</v>
      </c>
      <c r="E95" t="s">
        <v>54</v>
      </c>
      <c r="F95">
        <v>27</v>
      </c>
      <c r="G95" s="12" t="str">
        <f t="shared" si="1"/>
        <v>25-29</v>
      </c>
      <c r="H95">
        <v>7</v>
      </c>
      <c r="I95">
        <v>0</v>
      </c>
      <c r="J95">
        <v>6</v>
      </c>
      <c r="K95" t="s">
        <v>22</v>
      </c>
      <c r="L95" t="s">
        <v>23</v>
      </c>
      <c r="M95">
        <v>3.52</v>
      </c>
      <c r="N95" t="s">
        <v>24</v>
      </c>
      <c r="O95" t="s">
        <v>25</v>
      </c>
      <c r="P95">
        <v>51737</v>
      </c>
      <c r="Q95">
        <v>1</v>
      </c>
      <c r="R95" t="s">
        <v>25</v>
      </c>
      <c r="S95" t="s">
        <v>26</v>
      </c>
    </row>
    <row r="96" spans="1:19" x14ac:dyDescent="0.3">
      <c r="A96" t="s">
        <v>181</v>
      </c>
      <c r="B96" s="9">
        <v>45487</v>
      </c>
      <c r="C96" t="s">
        <v>59</v>
      </c>
      <c r="D96" t="s">
        <v>60</v>
      </c>
      <c r="E96" t="s">
        <v>30</v>
      </c>
      <c r="F96">
        <v>27</v>
      </c>
      <c r="G96" s="12" t="str">
        <f t="shared" si="1"/>
        <v>25-29</v>
      </c>
      <c r="H96">
        <v>3</v>
      </c>
      <c r="I96">
        <v>2</v>
      </c>
      <c r="J96">
        <v>0</v>
      </c>
      <c r="K96" t="s">
        <v>22</v>
      </c>
      <c r="L96" t="s">
        <v>23</v>
      </c>
      <c r="M96">
        <v>2.27</v>
      </c>
      <c r="N96" t="s">
        <v>24</v>
      </c>
      <c r="O96" t="s">
        <v>25</v>
      </c>
      <c r="P96">
        <v>99171</v>
      </c>
      <c r="Q96">
        <v>4</v>
      </c>
      <c r="R96" t="s">
        <v>25</v>
      </c>
      <c r="S96" t="s">
        <v>25</v>
      </c>
    </row>
    <row r="97" spans="1:19" x14ac:dyDescent="0.3">
      <c r="A97" t="s">
        <v>182</v>
      </c>
      <c r="B97" s="9">
        <v>45973</v>
      </c>
      <c r="C97" t="s">
        <v>52</v>
      </c>
      <c r="D97" t="s">
        <v>64</v>
      </c>
      <c r="E97" t="s">
        <v>30</v>
      </c>
      <c r="F97">
        <v>27</v>
      </c>
      <c r="G97" s="12" t="str">
        <f t="shared" si="1"/>
        <v>25-29</v>
      </c>
      <c r="H97">
        <v>2</v>
      </c>
      <c r="I97">
        <v>1</v>
      </c>
      <c r="J97">
        <v>6</v>
      </c>
      <c r="K97" t="s">
        <v>22</v>
      </c>
      <c r="L97" t="s">
        <v>23</v>
      </c>
      <c r="M97">
        <v>3.27</v>
      </c>
      <c r="N97" t="s">
        <v>50</v>
      </c>
      <c r="O97" t="s">
        <v>25</v>
      </c>
      <c r="P97">
        <v>141972</v>
      </c>
      <c r="Q97">
        <v>3</v>
      </c>
      <c r="R97" t="s">
        <v>25</v>
      </c>
      <c r="S97" t="s">
        <v>26</v>
      </c>
    </row>
    <row r="98" spans="1:19" x14ac:dyDescent="0.3">
      <c r="A98" t="s">
        <v>183</v>
      </c>
      <c r="B98" s="9">
        <v>45744</v>
      </c>
      <c r="C98" t="s">
        <v>52</v>
      </c>
      <c r="D98" t="s">
        <v>64</v>
      </c>
      <c r="E98" t="s">
        <v>21</v>
      </c>
      <c r="F98">
        <v>28</v>
      </c>
      <c r="G98" s="12" t="str">
        <f t="shared" si="1"/>
        <v>25-29</v>
      </c>
      <c r="H98">
        <v>1</v>
      </c>
      <c r="I98">
        <v>0</v>
      </c>
      <c r="J98">
        <v>3</v>
      </c>
      <c r="K98" t="s">
        <v>22</v>
      </c>
      <c r="L98" t="s">
        <v>23</v>
      </c>
      <c r="M98">
        <v>2.2200000000000002</v>
      </c>
      <c r="N98" t="s">
        <v>102</v>
      </c>
      <c r="O98" t="s">
        <v>25</v>
      </c>
      <c r="P98">
        <v>70086</v>
      </c>
      <c r="Q98">
        <v>1</v>
      </c>
      <c r="R98" t="s">
        <v>25</v>
      </c>
      <c r="S98" t="s">
        <v>26</v>
      </c>
    </row>
    <row r="99" spans="1:19" x14ac:dyDescent="0.3">
      <c r="A99" t="s">
        <v>184</v>
      </c>
      <c r="B99" s="9">
        <v>45565</v>
      </c>
      <c r="C99" t="s">
        <v>28</v>
      </c>
      <c r="D99" t="s">
        <v>29</v>
      </c>
      <c r="E99" t="s">
        <v>75</v>
      </c>
      <c r="F99">
        <v>21</v>
      </c>
      <c r="G99" s="12" t="str">
        <f t="shared" si="1"/>
        <v>18-24</v>
      </c>
      <c r="H99">
        <v>1</v>
      </c>
      <c r="I99">
        <v>0</v>
      </c>
      <c r="J99">
        <v>3</v>
      </c>
      <c r="K99" t="s">
        <v>22</v>
      </c>
      <c r="L99" t="s">
        <v>23</v>
      </c>
      <c r="M99">
        <v>2.5099999999999998</v>
      </c>
      <c r="N99" t="s">
        <v>24</v>
      </c>
      <c r="O99" t="s">
        <v>25</v>
      </c>
      <c r="P99">
        <v>107178</v>
      </c>
      <c r="Q99">
        <v>3</v>
      </c>
      <c r="R99" t="s">
        <v>25</v>
      </c>
      <c r="S99" t="s">
        <v>26</v>
      </c>
    </row>
    <row r="100" spans="1:19" x14ac:dyDescent="0.3">
      <c r="A100" t="s">
        <v>185</v>
      </c>
      <c r="B100" s="9">
        <v>45618</v>
      </c>
      <c r="C100" t="s">
        <v>28</v>
      </c>
      <c r="D100" t="s">
        <v>29</v>
      </c>
      <c r="E100" t="s">
        <v>30</v>
      </c>
      <c r="F100">
        <v>28</v>
      </c>
      <c r="G100" s="12" t="str">
        <f t="shared" si="1"/>
        <v>25-29</v>
      </c>
      <c r="H100">
        <v>6</v>
      </c>
      <c r="I100">
        <v>0</v>
      </c>
      <c r="J100">
        <v>7</v>
      </c>
      <c r="K100" t="s">
        <v>38</v>
      </c>
      <c r="L100" t="s">
        <v>23</v>
      </c>
      <c r="M100">
        <v>3.14</v>
      </c>
      <c r="N100" t="s">
        <v>102</v>
      </c>
      <c r="O100" t="s">
        <v>25</v>
      </c>
      <c r="P100">
        <v>123467</v>
      </c>
      <c r="Q100">
        <v>6</v>
      </c>
      <c r="R100" t="s">
        <v>25</v>
      </c>
      <c r="S100" t="s">
        <v>26</v>
      </c>
    </row>
    <row r="101" spans="1:19" x14ac:dyDescent="0.3">
      <c r="A101" t="s">
        <v>187</v>
      </c>
      <c r="B101" s="9">
        <v>45386</v>
      </c>
      <c r="C101" t="s">
        <v>59</v>
      </c>
      <c r="D101" t="s">
        <v>91</v>
      </c>
      <c r="E101" t="s">
        <v>33</v>
      </c>
      <c r="F101">
        <v>31</v>
      </c>
      <c r="G101" s="12" t="str">
        <f t="shared" si="1"/>
        <v>30-34</v>
      </c>
      <c r="H101">
        <v>5</v>
      </c>
      <c r="I101">
        <v>0</v>
      </c>
      <c r="J101">
        <v>2</v>
      </c>
      <c r="K101" t="s">
        <v>22</v>
      </c>
      <c r="L101" t="s">
        <v>23</v>
      </c>
      <c r="M101">
        <v>3</v>
      </c>
      <c r="N101" t="s">
        <v>24</v>
      </c>
      <c r="O101" t="s">
        <v>25</v>
      </c>
      <c r="P101">
        <v>43109</v>
      </c>
      <c r="Q101">
        <v>1</v>
      </c>
      <c r="R101" t="s">
        <v>188</v>
      </c>
      <c r="S101" t="s">
        <v>26</v>
      </c>
    </row>
    <row r="102" spans="1:19" x14ac:dyDescent="0.3">
      <c r="A102" t="s">
        <v>189</v>
      </c>
      <c r="B102" s="9">
        <v>45594</v>
      </c>
      <c r="C102" t="s">
        <v>19</v>
      </c>
      <c r="D102" t="s">
        <v>20</v>
      </c>
      <c r="E102" t="s">
        <v>75</v>
      </c>
      <c r="F102">
        <v>33</v>
      </c>
      <c r="G102" s="12" t="str">
        <f t="shared" si="1"/>
        <v>30-34</v>
      </c>
      <c r="H102">
        <v>4</v>
      </c>
      <c r="I102">
        <v>1</v>
      </c>
      <c r="J102">
        <v>8</v>
      </c>
      <c r="K102" t="s">
        <v>38</v>
      </c>
      <c r="L102" t="s">
        <v>23</v>
      </c>
      <c r="M102">
        <v>2.33</v>
      </c>
      <c r="N102" t="s">
        <v>24</v>
      </c>
      <c r="O102" t="s">
        <v>25</v>
      </c>
      <c r="P102">
        <v>159074</v>
      </c>
      <c r="Q102">
        <v>3</v>
      </c>
      <c r="R102" t="s">
        <v>25</v>
      </c>
      <c r="S102" t="s">
        <v>26</v>
      </c>
    </row>
    <row r="103" spans="1:19" x14ac:dyDescent="0.3">
      <c r="A103" t="s">
        <v>190</v>
      </c>
      <c r="B103" s="9">
        <v>45685</v>
      </c>
      <c r="C103" t="s">
        <v>35</v>
      </c>
      <c r="D103" t="s">
        <v>121</v>
      </c>
      <c r="E103" t="s">
        <v>37</v>
      </c>
      <c r="F103">
        <v>26</v>
      </c>
      <c r="G103" s="12" t="str">
        <f t="shared" si="1"/>
        <v>25-29</v>
      </c>
      <c r="H103">
        <v>2</v>
      </c>
      <c r="I103">
        <v>0</v>
      </c>
      <c r="J103">
        <v>3</v>
      </c>
      <c r="K103" t="s">
        <v>22</v>
      </c>
      <c r="L103" t="s">
        <v>23</v>
      </c>
      <c r="M103">
        <v>2.62</v>
      </c>
      <c r="N103" t="s">
        <v>88</v>
      </c>
      <c r="O103" t="s">
        <v>25</v>
      </c>
      <c r="P103">
        <v>66213</v>
      </c>
      <c r="Q103">
        <v>1</v>
      </c>
      <c r="R103" t="s">
        <v>26</v>
      </c>
      <c r="S103" t="s">
        <v>26</v>
      </c>
    </row>
    <row r="104" spans="1:19" x14ac:dyDescent="0.3">
      <c r="A104" t="s">
        <v>192</v>
      </c>
      <c r="B104" s="9">
        <v>45770</v>
      </c>
      <c r="C104" t="s">
        <v>52</v>
      </c>
      <c r="D104" t="s">
        <v>64</v>
      </c>
      <c r="E104" t="s">
        <v>75</v>
      </c>
      <c r="F104">
        <v>30</v>
      </c>
      <c r="G104" s="12" t="str">
        <f t="shared" si="1"/>
        <v>30-34</v>
      </c>
      <c r="H104">
        <v>5</v>
      </c>
      <c r="I104">
        <v>1</v>
      </c>
      <c r="J104">
        <v>4</v>
      </c>
      <c r="K104" t="s">
        <v>22</v>
      </c>
      <c r="L104" t="s">
        <v>23</v>
      </c>
      <c r="M104">
        <v>2.97</v>
      </c>
      <c r="N104" t="s">
        <v>24</v>
      </c>
      <c r="O104" t="s">
        <v>25</v>
      </c>
      <c r="P104">
        <v>42310</v>
      </c>
      <c r="Q104">
        <v>1</v>
      </c>
      <c r="R104" t="s">
        <v>25</v>
      </c>
      <c r="S104" t="s">
        <v>26</v>
      </c>
    </row>
    <row r="105" spans="1:19" x14ac:dyDescent="0.3">
      <c r="A105" t="s">
        <v>193</v>
      </c>
      <c r="B105" s="9">
        <v>46000</v>
      </c>
      <c r="C105" t="s">
        <v>28</v>
      </c>
      <c r="D105" t="s">
        <v>78</v>
      </c>
      <c r="E105" t="s">
        <v>75</v>
      </c>
      <c r="F105">
        <v>32</v>
      </c>
      <c r="G105" s="12" t="str">
        <f t="shared" si="1"/>
        <v>30-34</v>
      </c>
      <c r="H105">
        <v>1</v>
      </c>
      <c r="I105">
        <v>1</v>
      </c>
      <c r="J105">
        <v>6</v>
      </c>
      <c r="K105" t="s">
        <v>38</v>
      </c>
      <c r="L105" t="s">
        <v>55</v>
      </c>
      <c r="M105">
        <v>2.56</v>
      </c>
      <c r="N105" t="s">
        <v>24</v>
      </c>
      <c r="O105" t="s">
        <v>25</v>
      </c>
      <c r="P105">
        <v>147483</v>
      </c>
      <c r="Q105">
        <v>5</v>
      </c>
      <c r="R105" t="s">
        <v>25</v>
      </c>
      <c r="S105" t="s">
        <v>26</v>
      </c>
    </row>
    <row r="106" spans="1:19" x14ac:dyDescent="0.3">
      <c r="A106" t="s">
        <v>194</v>
      </c>
      <c r="B106" s="9">
        <v>45596</v>
      </c>
      <c r="C106" t="s">
        <v>59</v>
      </c>
      <c r="D106" t="s">
        <v>49</v>
      </c>
      <c r="E106" t="s">
        <v>30</v>
      </c>
      <c r="F106">
        <v>20</v>
      </c>
      <c r="G106" s="12" t="str">
        <f t="shared" si="1"/>
        <v>18-24</v>
      </c>
      <c r="H106">
        <v>2</v>
      </c>
      <c r="I106">
        <v>1</v>
      </c>
      <c r="J106">
        <v>6</v>
      </c>
      <c r="K106" t="s">
        <v>38</v>
      </c>
      <c r="L106" t="s">
        <v>23</v>
      </c>
      <c r="M106">
        <v>2.74</v>
      </c>
      <c r="N106" t="s">
        <v>24</v>
      </c>
      <c r="O106" t="s">
        <v>25</v>
      </c>
      <c r="P106">
        <v>159264</v>
      </c>
      <c r="Q106">
        <v>2</v>
      </c>
      <c r="R106" t="s">
        <v>25</v>
      </c>
      <c r="S106" t="s">
        <v>26</v>
      </c>
    </row>
    <row r="107" spans="1:19" x14ac:dyDescent="0.3">
      <c r="A107" t="s">
        <v>195</v>
      </c>
      <c r="B107" s="9">
        <v>45344</v>
      </c>
      <c r="C107" t="s">
        <v>35</v>
      </c>
      <c r="D107" t="s">
        <v>40</v>
      </c>
      <c r="E107" t="s">
        <v>37</v>
      </c>
      <c r="F107">
        <v>19</v>
      </c>
      <c r="G107" s="12" t="str">
        <f t="shared" si="1"/>
        <v>18-24</v>
      </c>
      <c r="H107">
        <v>7</v>
      </c>
      <c r="I107">
        <v>5</v>
      </c>
      <c r="J107">
        <v>1</v>
      </c>
      <c r="K107" t="s">
        <v>22</v>
      </c>
      <c r="L107" t="s">
        <v>23</v>
      </c>
      <c r="M107">
        <v>3.13</v>
      </c>
      <c r="N107" t="s">
        <v>102</v>
      </c>
      <c r="O107" t="s">
        <v>25</v>
      </c>
      <c r="P107">
        <v>71493</v>
      </c>
      <c r="Q107">
        <v>1</v>
      </c>
      <c r="R107" t="s">
        <v>25</v>
      </c>
      <c r="S107" t="s">
        <v>26</v>
      </c>
    </row>
    <row r="108" spans="1:19" x14ac:dyDescent="0.3">
      <c r="A108" t="s">
        <v>196</v>
      </c>
      <c r="B108" s="9">
        <v>45969</v>
      </c>
      <c r="C108" t="s">
        <v>59</v>
      </c>
      <c r="D108" t="s">
        <v>49</v>
      </c>
      <c r="E108" t="s">
        <v>30</v>
      </c>
      <c r="F108">
        <v>32</v>
      </c>
      <c r="G108" s="12" t="str">
        <f t="shared" si="1"/>
        <v>30-34</v>
      </c>
      <c r="H108">
        <v>7</v>
      </c>
      <c r="I108">
        <v>1</v>
      </c>
      <c r="J108">
        <v>1</v>
      </c>
      <c r="K108" t="s">
        <v>22</v>
      </c>
      <c r="L108" t="s">
        <v>23</v>
      </c>
      <c r="M108">
        <v>3.06</v>
      </c>
      <c r="N108" t="s">
        <v>50</v>
      </c>
      <c r="O108" t="s">
        <v>25</v>
      </c>
      <c r="P108">
        <v>34724</v>
      </c>
      <c r="Q108">
        <v>1</v>
      </c>
      <c r="R108" t="s">
        <v>25</v>
      </c>
      <c r="S108" t="s">
        <v>26</v>
      </c>
    </row>
    <row r="109" spans="1:19" x14ac:dyDescent="0.3">
      <c r="A109" t="s">
        <v>197</v>
      </c>
      <c r="B109" s="9">
        <v>45428</v>
      </c>
      <c r="C109" t="s">
        <v>52</v>
      </c>
      <c r="D109" t="s">
        <v>129</v>
      </c>
      <c r="E109" t="s">
        <v>21</v>
      </c>
      <c r="F109">
        <v>29</v>
      </c>
      <c r="G109" s="12" t="str">
        <f t="shared" si="1"/>
        <v>25-29</v>
      </c>
      <c r="H109">
        <v>6</v>
      </c>
      <c r="I109">
        <v>5</v>
      </c>
      <c r="J109">
        <v>3</v>
      </c>
      <c r="K109" t="s">
        <v>22</v>
      </c>
      <c r="L109" t="s">
        <v>23</v>
      </c>
      <c r="M109">
        <v>2.89</v>
      </c>
      <c r="N109" t="s">
        <v>24</v>
      </c>
      <c r="O109" t="s">
        <v>25</v>
      </c>
      <c r="P109">
        <v>90157</v>
      </c>
      <c r="Q109">
        <v>1</v>
      </c>
      <c r="R109" t="s">
        <v>25</v>
      </c>
      <c r="S109" t="s">
        <v>26</v>
      </c>
    </row>
    <row r="110" spans="1:19" x14ac:dyDescent="0.3">
      <c r="A110" t="s">
        <v>198</v>
      </c>
      <c r="B110" s="9">
        <v>45837</v>
      </c>
      <c r="C110" t="s">
        <v>35</v>
      </c>
      <c r="D110" t="s">
        <v>36</v>
      </c>
      <c r="E110" t="s">
        <v>37</v>
      </c>
      <c r="F110">
        <v>33</v>
      </c>
      <c r="G110" s="12" t="str">
        <f t="shared" si="1"/>
        <v>30-34</v>
      </c>
      <c r="H110">
        <v>6</v>
      </c>
      <c r="I110">
        <v>3</v>
      </c>
      <c r="J110">
        <v>2</v>
      </c>
      <c r="K110" t="s">
        <v>22</v>
      </c>
      <c r="L110" t="s">
        <v>23</v>
      </c>
      <c r="M110">
        <v>3.39</v>
      </c>
      <c r="N110" t="s">
        <v>24</v>
      </c>
      <c r="O110" t="s">
        <v>25</v>
      </c>
      <c r="P110">
        <v>101039</v>
      </c>
      <c r="Q110">
        <v>1</v>
      </c>
      <c r="R110" t="s">
        <v>25</v>
      </c>
      <c r="S110" t="s">
        <v>26</v>
      </c>
    </row>
    <row r="111" spans="1:19" x14ac:dyDescent="0.3">
      <c r="A111" t="s">
        <v>199</v>
      </c>
      <c r="B111" s="9">
        <v>45773</v>
      </c>
      <c r="C111" t="s">
        <v>35</v>
      </c>
      <c r="D111" t="s">
        <v>45</v>
      </c>
      <c r="E111" t="s">
        <v>21</v>
      </c>
      <c r="F111">
        <v>25</v>
      </c>
      <c r="G111" s="12" t="str">
        <f t="shared" si="1"/>
        <v>25-29</v>
      </c>
      <c r="H111">
        <v>3</v>
      </c>
      <c r="I111">
        <v>3</v>
      </c>
      <c r="J111">
        <v>6</v>
      </c>
      <c r="K111" t="s">
        <v>38</v>
      </c>
      <c r="L111" t="s">
        <v>23</v>
      </c>
      <c r="M111">
        <v>2.99</v>
      </c>
      <c r="N111" t="s">
        <v>102</v>
      </c>
      <c r="O111" t="s">
        <v>25</v>
      </c>
      <c r="P111">
        <v>154278</v>
      </c>
      <c r="Q111">
        <v>3</v>
      </c>
      <c r="R111" t="s">
        <v>25</v>
      </c>
      <c r="S111" t="s">
        <v>26</v>
      </c>
    </row>
    <row r="112" spans="1:19" x14ac:dyDescent="0.3">
      <c r="A112" t="s">
        <v>200</v>
      </c>
      <c r="B112" s="9">
        <v>45668</v>
      </c>
      <c r="C112" t="s">
        <v>52</v>
      </c>
      <c r="D112" t="s">
        <v>111</v>
      </c>
      <c r="E112" t="s">
        <v>21</v>
      </c>
      <c r="F112">
        <v>29</v>
      </c>
      <c r="G112" s="12" t="str">
        <f t="shared" si="1"/>
        <v>25-29</v>
      </c>
      <c r="H112">
        <v>7</v>
      </c>
      <c r="I112">
        <v>5</v>
      </c>
      <c r="J112">
        <v>4</v>
      </c>
      <c r="K112" t="s">
        <v>38</v>
      </c>
      <c r="L112" t="s">
        <v>42</v>
      </c>
      <c r="M112">
        <v>3.74</v>
      </c>
      <c r="N112" t="s">
        <v>171</v>
      </c>
      <c r="O112" t="s">
        <v>25</v>
      </c>
      <c r="P112">
        <v>151360</v>
      </c>
      <c r="Q112">
        <v>4</v>
      </c>
      <c r="R112" t="s">
        <v>25</v>
      </c>
      <c r="S112" t="s">
        <v>26</v>
      </c>
    </row>
    <row r="113" spans="1:19" x14ac:dyDescent="0.3">
      <c r="A113" t="s">
        <v>201</v>
      </c>
      <c r="B113" s="9">
        <v>45674</v>
      </c>
      <c r="C113" t="s">
        <v>59</v>
      </c>
      <c r="D113" t="s">
        <v>91</v>
      </c>
      <c r="E113" t="s">
        <v>21</v>
      </c>
      <c r="F113">
        <v>26</v>
      </c>
      <c r="G113" s="12" t="str">
        <f t="shared" si="1"/>
        <v>25-29</v>
      </c>
      <c r="H113">
        <v>3</v>
      </c>
      <c r="I113">
        <v>0</v>
      </c>
      <c r="J113">
        <v>4</v>
      </c>
      <c r="K113" t="s">
        <v>22</v>
      </c>
      <c r="L113" t="s">
        <v>23</v>
      </c>
      <c r="M113">
        <v>2.86</v>
      </c>
      <c r="N113" t="s">
        <v>50</v>
      </c>
      <c r="O113" t="s">
        <v>25</v>
      </c>
      <c r="P113">
        <v>74861</v>
      </c>
      <c r="Q113">
        <v>1</v>
      </c>
      <c r="R113" t="s">
        <v>25</v>
      </c>
      <c r="S113" t="s">
        <v>26</v>
      </c>
    </row>
    <row r="114" spans="1:19" x14ac:dyDescent="0.3">
      <c r="A114" t="s">
        <v>202</v>
      </c>
      <c r="B114" s="9">
        <v>46011</v>
      </c>
      <c r="C114" t="s">
        <v>52</v>
      </c>
      <c r="D114" t="s">
        <v>64</v>
      </c>
      <c r="E114" t="s">
        <v>75</v>
      </c>
      <c r="F114">
        <v>30</v>
      </c>
      <c r="G114" s="12" t="str">
        <f t="shared" si="1"/>
        <v>30-34</v>
      </c>
      <c r="H114">
        <v>1</v>
      </c>
      <c r="I114">
        <v>1</v>
      </c>
      <c r="J114">
        <v>9</v>
      </c>
      <c r="K114" t="s">
        <v>38</v>
      </c>
      <c r="L114" t="s">
        <v>23</v>
      </c>
      <c r="M114">
        <v>3.58</v>
      </c>
      <c r="N114" t="s">
        <v>24</v>
      </c>
      <c r="O114" t="s">
        <v>25</v>
      </c>
      <c r="P114">
        <v>136849</v>
      </c>
      <c r="Q114">
        <v>5</v>
      </c>
      <c r="R114" t="s">
        <v>25</v>
      </c>
      <c r="S114" t="s">
        <v>26</v>
      </c>
    </row>
    <row r="115" spans="1:19" x14ac:dyDescent="0.3">
      <c r="A115" t="s">
        <v>203</v>
      </c>
      <c r="B115" s="9">
        <v>45844</v>
      </c>
      <c r="C115" t="s">
        <v>59</v>
      </c>
      <c r="D115" t="s">
        <v>91</v>
      </c>
      <c r="E115" t="s">
        <v>54</v>
      </c>
      <c r="F115">
        <v>26</v>
      </c>
      <c r="G115" s="12" t="str">
        <f t="shared" si="1"/>
        <v>25-29</v>
      </c>
      <c r="H115">
        <v>2</v>
      </c>
      <c r="I115">
        <v>0</v>
      </c>
      <c r="J115">
        <v>0</v>
      </c>
      <c r="K115" t="s">
        <v>38</v>
      </c>
      <c r="L115" t="s">
        <v>23</v>
      </c>
      <c r="M115">
        <v>2.5499999999999998</v>
      </c>
      <c r="N115" t="s">
        <v>24</v>
      </c>
      <c r="O115" t="s">
        <v>25</v>
      </c>
      <c r="P115">
        <v>98230</v>
      </c>
      <c r="Q115">
        <v>3</v>
      </c>
      <c r="R115" t="s">
        <v>26</v>
      </c>
      <c r="S115" t="s">
        <v>25</v>
      </c>
    </row>
    <row r="116" spans="1:19" x14ac:dyDescent="0.3">
      <c r="A116" t="s">
        <v>204</v>
      </c>
      <c r="B116" s="9">
        <v>45795</v>
      </c>
      <c r="C116" t="s">
        <v>59</v>
      </c>
      <c r="D116" t="s">
        <v>60</v>
      </c>
      <c r="E116" t="s">
        <v>37</v>
      </c>
      <c r="F116">
        <v>29</v>
      </c>
      <c r="G116" s="12" t="str">
        <f t="shared" si="1"/>
        <v>25-29</v>
      </c>
      <c r="H116">
        <v>3</v>
      </c>
      <c r="I116">
        <v>3</v>
      </c>
      <c r="J116">
        <v>8</v>
      </c>
      <c r="K116" t="s">
        <v>22</v>
      </c>
      <c r="L116" t="s">
        <v>23</v>
      </c>
      <c r="M116">
        <v>3.28</v>
      </c>
      <c r="N116" t="s">
        <v>102</v>
      </c>
      <c r="O116" t="s">
        <v>25</v>
      </c>
      <c r="P116">
        <v>59522</v>
      </c>
      <c r="Q116">
        <v>3</v>
      </c>
      <c r="R116" t="s">
        <v>25</v>
      </c>
      <c r="S116" t="s">
        <v>26</v>
      </c>
    </row>
    <row r="117" spans="1:19" x14ac:dyDescent="0.3">
      <c r="A117" t="s">
        <v>205</v>
      </c>
      <c r="B117" s="9">
        <v>45996</v>
      </c>
      <c r="C117" t="s">
        <v>59</v>
      </c>
      <c r="D117" t="s">
        <v>49</v>
      </c>
      <c r="E117" t="s">
        <v>75</v>
      </c>
      <c r="F117">
        <v>18</v>
      </c>
      <c r="G117" s="12" t="str">
        <f t="shared" si="1"/>
        <v>18-24</v>
      </c>
      <c r="H117">
        <v>1</v>
      </c>
      <c r="I117">
        <v>1</v>
      </c>
      <c r="J117">
        <v>5</v>
      </c>
      <c r="K117" t="s">
        <v>22</v>
      </c>
      <c r="L117" t="s">
        <v>23</v>
      </c>
      <c r="M117">
        <v>3.52</v>
      </c>
      <c r="N117" t="s">
        <v>24</v>
      </c>
      <c r="O117" t="s">
        <v>25</v>
      </c>
      <c r="P117">
        <v>28035</v>
      </c>
      <c r="Q117">
        <v>3</v>
      </c>
      <c r="R117" t="s">
        <v>25</v>
      </c>
      <c r="S117" t="s">
        <v>26</v>
      </c>
    </row>
    <row r="118" spans="1:19" x14ac:dyDescent="0.3">
      <c r="A118" t="s">
        <v>206</v>
      </c>
      <c r="B118" s="9">
        <v>45387</v>
      </c>
      <c r="C118" t="s">
        <v>28</v>
      </c>
      <c r="D118" t="s">
        <v>124</v>
      </c>
      <c r="E118" t="s">
        <v>30</v>
      </c>
      <c r="F118">
        <v>30</v>
      </c>
      <c r="G118" s="12" t="str">
        <f t="shared" si="1"/>
        <v>30-34</v>
      </c>
      <c r="H118">
        <v>1</v>
      </c>
      <c r="I118">
        <v>1</v>
      </c>
      <c r="J118">
        <v>4</v>
      </c>
      <c r="K118" t="s">
        <v>22</v>
      </c>
      <c r="L118" t="s">
        <v>42</v>
      </c>
      <c r="M118">
        <v>3.45</v>
      </c>
      <c r="N118" t="s">
        <v>171</v>
      </c>
      <c r="O118" t="s">
        <v>25</v>
      </c>
      <c r="P118">
        <v>121767</v>
      </c>
      <c r="Q118">
        <v>2</v>
      </c>
      <c r="R118" t="s">
        <v>25</v>
      </c>
      <c r="S118" t="s">
        <v>26</v>
      </c>
    </row>
    <row r="119" spans="1:19" x14ac:dyDescent="0.3">
      <c r="A119" t="s">
        <v>207</v>
      </c>
      <c r="B119" s="9">
        <v>45861</v>
      </c>
      <c r="C119" t="s">
        <v>52</v>
      </c>
      <c r="D119" t="s">
        <v>129</v>
      </c>
      <c r="E119" t="s">
        <v>54</v>
      </c>
      <c r="F119">
        <v>30</v>
      </c>
      <c r="G119" s="12" t="str">
        <f t="shared" si="1"/>
        <v>30-34</v>
      </c>
      <c r="H119">
        <v>1</v>
      </c>
      <c r="I119">
        <v>1</v>
      </c>
      <c r="J119">
        <v>4</v>
      </c>
      <c r="K119" t="s">
        <v>22</v>
      </c>
      <c r="L119" t="s">
        <v>23</v>
      </c>
      <c r="M119">
        <v>2.63</v>
      </c>
      <c r="N119" t="s">
        <v>24</v>
      </c>
      <c r="O119" t="s">
        <v>25</v>
      </c>
      <c r="P119">
        <v>85758</v>
      </c>
      <c r="Q119">
        <v>1</v>
      </c>
      <c r="R119" t="s">
        <v>26</v>
      </c>
      <c r="S119" t="s">
        <v>26</v>
      </c>
    </row>
    <row r="120" spans="1:19" x14ac:dyDescent="0.3">
      <c r="A120" t="s">
        <v>208</v>
      </c>
      <c r="B120" s="9">
        <v>45442</v>
      </c>
      <c r="C120" t="s">
        <v>28</v>
      </c>
      <c r="D120" t="s">
        <v>78</v>
      </c>
      <c r="E120" t="s">
        <v>54</v>
      </c>
      <c r="F120">
        <v>29</v>
      </c>
      <c r="G120" s="12" t="str">
        <f t="shared" si="1"/>
        <v>25-29</v>
      </c>
      <c r="H120">
        <v>7</v>
      </c>
      <c r="I120">
        <v>1</v>
      </c>
      <c r="J120">
        <v>4</v>
      </c>
      <c r="K120" t="s">
        <v>22</v>
      </c>
      <c r="L120" t="s">
        <v>23</v>
      </c>
      <c r="M120">
        <v>3.5</v>
      </c>
      <c r="N120" t="s">
        <v>102</v>
      </c>
      <c r="O120" t="s">
        <v>25</v>
      </c>
      <c r="P120">
        <v>73341</v>
      </c>
      <c r="Q120">
        <v>3</v>
      </c>
      <c r="R120" t="s">
        <v>26</v>
      </c>
      <c r="S120" t="s">
        <v>26</v>
      </c>
    </row>
    <row r="121" spans="1:19" x14ac:dyDescent="0.3">
      <c r="A121" t="s">
        <v>209</v>
      </c>
      <c r="B121" s="9">
        <v>45537</v>
      </c>
      <c r="C121" t="s">
        <v>28</v>
      </c>
      <c r="D121" t="s">
        <v>124</v>
      </c>
      <c r="E121" t="s">
        <v>37</v>
      </c>
      <c r="F121">
        <v>26</v>
      </c>
      <c r="G121" s="12" t="str">
        <f t="shared" si="1"/>
        <v>25-29</v>
      </c>
      <c r="H121">
        <v>7</v>
      </c>
      <c r="I121">
        <v>1</v>
      </c>
      <c r="J121">
        <v>4</v>
      </c>
      <c r="K121" t="s">
        <v>22</v>
      </c>
      <c r="L121" t="s">
        <v>23</v>
      </c>
      <c r="M121">
        <v>2.56</v>
      </c>
      <c r="N121" t="s">
        <v>24</v>
      </c>
      <c r="O121" t="s">
        <v>25</v>
      </c>
      <c r="P121">
        <v>53892</v>
      </c>
      <c r="Q121">
        <v>2</v>
      </c>
      <c r="R121" t="s">
        <v>25</v>
      </c>
      <c r="S121" t="s">
        <v>26</v>
      </c>
    </row>
    <row r="122" spans="1:19" x14ac:dyDescent="0.3">
      <c r="A122" t="s">
        <v>210</v>
      </c>
      <c r="B122" s="9">
        <v>45781</v>
      </c>
      <c r="C122" t="s">
        <v>35</v>
      </c>
      <c r="D122" t="s">
        <v>40</v>
      </c>
      <c r="E122" t="s">
        <v>33</v>
      </c>
      <c r="F122">
        <v>32</v>
      </c>
      <c r="G122" s="12" t="str">
        <f t="shared" si="1"/>
        <v>30-34</v>
      </c>
      <c r="H122">
        <v>2</v>
      </c>
      <c r="I122">
        <v>1</v>
      </c>
      <c r="J122">
        <v>3</v>
      </c>
      <c r="K122" t="s">
        <v>38</v>
      </c>
      <c r="L122" t="s">
        <v>23</v>
      </c>
      <c r="M122">
        <v>3.58</v>
      </c>
      <c r="N122" t="s">
        <v>24</v>
      </c>
      <c r="O122" t="s">
        <v>25</v>
      </c>
      <c r="P122">
        <v>98890</v>
      </c>
      <c r="Q122">
        <v>2</v>
      </c>
      <c r="R122" t="s">
        <v>46</v>
      </c>
      <c r="S122" t="s">
        <v>26</v>
      </c>
    </row>
    <row r="123" spans="1:19" x14ac:dyDescent="0.3">
      <c r="A123" t="s">
        <v>211</v>
      </c>
      <c r="B123" s="9">
        <v>45968</v>
      </c>
      <c r="C123" t="s">
        <v>35</v>
      </c>
      <c r="D123" t="s">
        <v>40</v>
      </c>
      <c r="E123" t="s">
        <v>37</v>
      </c>
      <c r="F123">
        <v>38</v>
      </c>
      <c r="G123" s="12" t="str">
        <f t="shared" si="1"/>
        <v>35-40</v>
      </c>
      <c r="H123">
        <v>4</v>
      </c>
      <c r="I123">
        <v>4</v>
      </c>
      <c r="J123">
        <v>14</v>
      </c>
      <c r="K123" t="s">
        <v>22</v>
      </c>
      <c r="L123" t="s">
        <v>23</v>
      </c>
      <c r="M123">
        <v>2.42</v>
      </c>
      <c r="N123" t="s">
        <v>94</v>
      </c>
      <c r="O123" t="s">
        <v>25</v>
      </c>
      <c r="P123">
        <v>20531</v>
      </c>
      <c r="Q123">
        <v>4</v>
      </c>
      <c r="R123" t="s">
        <v>25</v>
      </c>
      <c r="S123" t="s">
        <v>26</v>
      </c>
    </row>
    <row r="124" spans="1:19" x14ac:dyDescent="0.3">
      <c r="A124" t="s">
        <v>212</v>
      </c>
      <c r="B124" s="9">
        <v>45796</v>
      </c>
      <c r="C124" t="s">
        <v>35</v>
      </c>
      <c r="D124" t="s">
        <v>121</v>
      </c>
      <c r="E124" t="s">
        <v>30</v>
      </c>
      <c r="F124">
        <v>32</v>
      </c>
      <c r="G124" s="12" t="str">
        <f t="shared" si="1"/>
        <v>30-34</v>
      </c>
      <c r="H124">
        <v>6</v>
      </c>
      <c r="I124">
        <v>0</v>
      </c>
      <c r="J124">
        <v>4</v>
      </c>
      <c r="K124" t="s">
        <v>22</v>
      </c>
      <c r="L124" t="s">
        <v>23</v>
      </c>
      <c r="M124">
        <v>3.5</v>
      </c>
      <c r="N124" t="s">
        <v>24</v>
      </c>
      <c r="O124" t="s">
        <v>25</v>
      </c>
      <c r="P124">
        <v>36862</v>
      </c>
      <c r="Q124">
        <v>5</v>
      </c>
      <c r="R124" t="s">
        <v>25</v>
      </c>
      <c r="S124" t="s">
        <v>26</v>
      </c>
    </row>
    <row r="125" spans="1:19" x14ac:dyDescent="0.3">
      <c r="A125" t="s">
        <v>213</v>
      </c>
      <c r="B125" s="9">
        <v>45855</v>
      </c>
      <c r="C125" t="s">
        <v>59</v>
      </c>
      <c r="D125" t="s">
        <v>91</v>
      </c>
      <c r="E125" t="s">
        <v>30</v>
      </c>
      <c r="F125">
        <v>29</v>
      </c>
      <c r="G125" s="12" t="str">
        <f t="shared" si="1"/>
        <v>25-29</v>
      </c>
      <c r="H125">
        <v>1</v>
      </c>
      <c r="I125">
        <v>1</v>
      </c>
      <c r="J125">
        <v>5</v>
      </c>
      <c r="K125" t="s">
        <v>22</v>
      </c>
      <c r="L125" t="s">
        <v>23</v>
      </c>
      <c r="M125">
        <v>3.5</v>
      </c>
      <c r="N125" t="s">
        <v>24</v>
      </c>
      <c r="O125" t="s">
        <v>25</v>
      </c>
      <c r="P125">
        <v>77025</v>
      </c>
      <c r="Q125">
        <v>2</v>
      </c>
      <c r="R125" t="s">
        <v>25</v>
      </c>
      <c r="S125" t="s">
        <v>26</v>
      </c>
    </row>
    <row r="126" spans="1:19" x14ac:dyDescent="0.3">
      <c r="A126" t="s">
        <v>214</v>
      </c>
      <c r="B126" s="9">
        <v>45411</v>
      </c>
      <c r="C126" t="s">
        <v>35</v>
      </c>
      <c r="D126" t="s">
        <v>121</v>
      </c>
      <c r="E126" t="s">
        <v>30</v>
      </c>
      <c r="F126">
        <v>25</v>
      </c>
      <c r="G126" s="12" t="str">
        <f t="shared" si="1"/>
        <v>25-29</v>
      </c>
      <c r="H126">
        <v>5</v>
      </c>
      <c r="I126">
        <v>4</v>
      </c>
      <c r="J126">
        <v>5</v>
      </c>
      <c r="K126" t="s">
        <v>22</v>
      </c>
      <c r="L126" t="s">
        <v>23</v>
      </c>
      <c r="M126">
        <v>4.1399999999999997</v>
      </c>
      <c r="N126" t="s">
        <v>24</v>
      </c>
      <c r="O126" t="s">
        <v>25</v>
      </c>
      <c r="P126">
        <v>98635</v>
      </c>
      <c r="Q126">
        <v>4</v>
      </c>
      <c r="R126" t="s">
        <v>25</v>
      </c>
      <c r="S126" t="s">
        <v>26</v>
      </c>
    </row>
    <row r="127" spans="1:19" x14ac:dyDescent="0.3">
      <c r="A127" t="s">
        <v>215</v>
      </c>
      <c r="B127" s="9">
        <v>45614</v>
      </c>
      <c r="C127" t="s">
        <v>28</v>
      </c>
      <c r="D127" t="s">
        <v>78</v>
      </c>
      <c r="E127" t="s">
        <v>33</v>
      </c>
      <c r="F127">
        <v>26</v>
      </c>
      <c r="G127" s="12" t="str">
        <f t="shared" si="1"/>
        <v>25-29</v>
      </c>
      <c r="H127">
        <v>4</v>
      </c>
      <c r="I127">
        <v>3</v>
      </c>
      <c r="J127">
        <v>3</v>
      </c>
      <c r="K127" t="s">
        <v>38</v>
      </c>
      <c r="L127" t="s">
        <v>23</v>
      </c>
      <c r="M127">
        <v>3.03</v>
      </c>
      <c r="N127" t="s">
        <v>88</v>
      </c>
      <c r="O127" t="s">
        <v>25</v>
      </c>
      <c r="P127">
        <v>146393</v>
      </c>
      <c r="Q127">
        <v>5</v>
      </c>
      <c r="R127" t="s">
        <v>25</v>
      </c>
      <c r="S127" t="s">
        <v>26</v>
      </c>
    </row>
    <row r="128" spans="1:19" x14ac:dyDescent="0.3">
      <c r="A128" t="s">
        <v>216</v>
      </c>
      <c r="B128" s="9">
        <v>45736</v>
      </c>
      <c r="C128" t="s">
        <v>35</v>
      </c>
      <c r="D128" t="s">
        <v>36</v>
      </c>
      <c r="E128" t="s">
        <v>21</v>
      </c>
      <c r="F128">
        <v>20</v>
      </c>
      <c r="G128" s="12" t="str">
        <f t="shared" si="1"/>
        <v>18-24</v>
      </c>
      <c r="H128">
        <v>3</v>
      </c>
      <c r="I128">
        <v>1</v>
      </c>
      <c r="J128">
        <v>8</v>
      </c>
      <c r="K128" t="s">
        <v>38</v>
      </c>
      <c r="L128" t="s">
        <v>23</v>
      </c>
      <c r="M128">
        <v>3.01</v>
      </c>
      <c r="N128" t="s">
        <v>24</v>
      </c>
      <c r="O128" t="s">
        <v>25</v>
      </c>
      <c r="P128">
        <v>134327</v>
      </c>
      <c r="Q128">
        <v>2</v>
      </c>
      <c r="R128" t="s">
        <v>26</v>
      </c>
      <c r="S128" t="s">
        <v>26</v>
      </c>
    </row>
    <row r="129" spans="1:19" x14ac:dyDescent="0.3">
      <c r="A129" t="s">
        <v>217</v>
      </c>
      <c r="B129" s="9">
        <v>45656</v>
      </c>
      <c r="C129" t="s">
        <v>35</v>
      </c>
      <c r="D129" t="s">
        <v>45</v>
      </c>
      <c r="E129" t="s">
        <v>30</v>
      </c>
      <c r="F129">
        <v>20</v>
      </c>
      <c r="G129" s="12" t="str">
        <f t="shared" si="1"/>
        <v>18-24</v>
      </c>
      <c r="H129">
        <v>5</v>
      </c>
      <c r="I129">
        <v>0</v>
      </c>
      <c r="J129">
        <v>6</v>
      </c>
      <c r="K129" t="s">
        <v>22</v>
      </c>
      <c r="L129" t="s">
        <v>23</v>
      </c>
      <c r="M129">
        <v>3.14</v>
      </c>
      <c r="N129" t="s">
        <v>50</v>
      </c>
      <c r="O129" t="s">
        <v>25</v>
      </c>
      <c r="P129">
        <v>32750</v>
      </c>
      <c r="Q129">
        <v>1</v>
      </c>
      <c r="R129" t="s">
        <v>26</v>
      </c>
      <c r="S129" t="s">
        <v>26</v>
      </c>
    </row>
    <row r="130" spans="1:19" x14ac:dyDescent="0.3">
      <c r="A130" t="s">
        <v>218</v>
      </c>
      <c r="B130" s="9">
        <v>45523</v>
      </c>
      <c r="C130" t="s">
        <v>59</v>
      </c>
      <c r="D130" t="s">
        <v>91</v>
      </c>
      <c r="E130" t="s">
        <v>21</v>
      </c>
      <c r="F130">
        <v>27</v>
      </c>
      <c r="G130" s="12" t="str">
        <f t="shared" si="1"/>
        <v>25-29</v>
      </c>
      <c r="H130">
        <v>3</v>
      </c>
      <c r="I130">
        <v>2</v>
      </c>
      <c r="J130">
        <v>8</v>
      </c>
      <c r="K130" t="s">
        <v>22</v>
      </c>
      <c r="L130" t="s">
        <v>23</v>
      </c>
      <c r="M130">
        <v>2.96</v>
      </c>
      <c r="N130" t="s">
        <v>24</v>
      </c>
      <c r="O130" t="s">
        <v>25</v>
      </c>
      <c r="P130">
        <v>27421</v>
      </c>
      <c r="Q130">
        <v>1</v>
      </c>
      <c r="R130" t="s">
        <v>25</v>
      </c>
      <c r="S130" t="s">
        <v>26</v>
      </c>
    </row>
    <row r="131" spans="1:19" x14ac:dyDescent="0.3">
      <c r="A131" t="s">
        <v>220</v>
      </c>
      <c r="B131" s="9">
        <v>45930</v>
      </c>
      <c r="C131" t="s">
        <v>35</v>
      </c>
      <c r="D131" t="s">
        <v>36</v>
      </c>
      <c r="E131" t="s">
        <v>37</v>
      </c>
      <c r="F131">
        <v>27</v>
      </c>
      <c r="G131" s="12" t="str">
        <f t="shared" ref="G131:G151" si="2">IF(F131&lt;25,"18-24",IF(F131&lt;30,"25-29",IF(F131&lt;35,"30-34",IF(F131&lt;40,"35-40",IF(F131&lt;45,"40-45","45+")))))</f>
        <v>25-29</v>
      </c>
      <c r="H131">
        <v>1</v>
      </c>
      <c r="I131">
        <v>1</v>
      </c>
      <c r="J131">
        <v>0</v>
      </c>
      <c r="K131" t="s">
        <v>22</v>
      </c>
      <c r="L131" t="s">
        <v>23</v>
      </c>
      <c r="M131">
        <v>3.07</v>
      </c>
      <c r="N131" t="s">
        <v>102</v>
      </c>
      <c r="O131" t="s">
        <v>25</v>
      </c>
      <c r="P131">
        <v>59226</v>
      </c>
      <c r="Q131">
        <v>3</v>
      </c>
      <c r="R131" t="s">
        <v>46</v>
      </c>
      <c r="S131" t="s">
        <v>25</v>
      </c>
    </row>
    <row r="132" spans="1:19" x14ac:dyDescent="0.3">
      <c r="A132" t="s">
        <v>221</v>
      </c>
      <c r="B132" s="9">
        <v>45610</v>
      </c>
      <c r="C132" t="s">
        <v>28</v>
      </c>
      <c r="D132" t="s">
        <v>70</v>
      </c>
      <c r="E132" t="s">
        <v>75</v>
      </c>
      <c r="F132">
        <v>38</v>
      </c>
      <c r="G132" s="12" t="str">
        <f t="shared" si="2"/>
        <v>35-40</v>
      </c>
      <c r="H132">
        <v>5</v>
      </c>
      <c r="I132">
        <v>5</v>
      </c>
      <c r="J132">
        <v>7</v>
      </c>
      <c r="K132" t="s">
        <v>38</v>
      </c>
      <c r="L132" t="s">
        <v>23</v>
      </c>
      <c r="M132">
        <v>2.95</v>
      </c>
      <c r="N132" t="s">
        <v>24</v>
      </c>
      <c r="O132" t="s">
        <v>25</v>
      </c>
      <c r="P132">
        <v>117336</v>
      </c>
      <c r="Q132">
        <v>7</v>
      </c>
      <c r="R132" t="s">
        <v>25</v>
      </c>
      <c r="S132" t="s">
        <v>26</v>
      </c>
    </row>
    <row r="133" spans="1:19" x14ac:dyDescent="0.3">
      <c r="A133" t="s">
        <v>222</v>
      </c>
      <c r="B133" s="9">
        <v>45325</v>
      </c>
      <c r="C133" t="s">
        <v>35</v>
      </c>
      <c r="D133" t="s">
        <v>40</v>
      </c>
      <c r="E133" t="s">
        <v>21</v>
      </c>
      <c r="F133">
        <v>29</v>
      </c>
      <c r="G133" s="12" t="str">
        <f t="shared" si="2"/>
        <v>25-29</v>
      </c>
      <c r="H133">
        <v>2</v>
      </c>
      <c r="I133">
        <v>0</v>
      </c>
      <c r="J133">
        <v>5</v>
      </c>
      <c r="K133" t="s">
        <v>22</v>
      </c>
      <c r="L133" t="s">
        <v>23</v>
      </c>
      <c r="M133">
        <v>3.09</v>
      </c>
      <c r="N133" t="s">
        <v>223</v>
      </c>
      <c r="O133" t="s">
        <v>25</v>
      </c>
      <c r="P133">
        <v>69952</v>
      </c>
      <c r="Q133">
        <v>1</v>
      </c>
      <c r="R133" t="s">
        <v>25</v>
      </c>
      <c r="S133" t="s">
        <v>26</v>
      </c>
    </row>
    <row r="134" spans="1:19" x14ac:dyDescent="0.3">
      <c r="A134" t="s">
        <v>224</v>
      </c>
      <c r="B134" s="9">
        <v>45875</v>
      </c>
      <c r="C134" t="s">
        <v>28</v>
      </c>
      <c r="D134" t="s">
        <v>78</v>
      </c>
      <c r="E134" t="s">
        <v>37</v>
      </c>
      <c r="F134">
        <v>26</v>
      </c>
      <c r="G134" s="12" t="str">
        <f t="shared" si="2"/>
        <v>25-29</v>
      </c>
      <c r="H134">
        <v>4</v>
      </c>
      <c r="I134">
        <v>3</v>
      </c>
      <c r="J134">
        <v>3</v>
      </c>
      <c r="K134" t="s">
        <v>22</v>
      </c>
      <c r="L134" t="s">
        <v>23</v>
      </c>
      <c r="M134">
        <v>3.08</v>
      </c>
      <c r="N134" t="s">
        <v>24</v>
      </c>
      <c r="O134" t="s">
        <v>25</v>
      </c>
      <c r="P134">
        <v>51414</v>
      </c>
      <c r="Q134">
        <v>1</v>
      </c>
      <c r="R134" t="s">
        <v>25</v>
      </c>
      <c r="S134" t="s">
        <v>26</v>
      </c>
    </row>
    <row r="135" spans="1:19" x14ac:dyDescent="0.3">
      <c r="A135" t="s">
        <v>225</v>
      </c>
      <c r="B135" s="9">
        <v>45728</v>
      </c>
      <c r="C135" t="s">
        <v>19</v>
      </c>
      <c r="D135" t="s">
        <v>20</v>
      </c>
      <c r="E135" t="s">
        <v>33</v>
      </c>
      <c r="F135">
        <v>29</v>
      </c>
      <c r="G135" s="12" t="str">
        <f t="shared" si="2"/>
        <v>25-29</v>
      </c>
      <c r="H135">
        <v>2</v>
      </c>
      <c r="I135">
        <v>0</v>
      </c>
      <c r="J135">
        <v>4</v>
      </c>
      <c r="K135" t="s">
        <v>38</v>
      </c>
      <c r="L135" t="s">
        <v>23</v>
      </c>
      <c r="M135">
        <v>3.93</v>
      </c>
      <c r="N135" t="s">
        <v>24</v>
      </c>
      <c r="O135" t="s">
        <v>25</v>
      </c>
      <c r="P135">
        <v>78725</v>
      </c>
      <c r="Q135">
        <v>5</v>
      </c>
      <c r="R135" t="s">
        <v>25</v>
      </c>
      <c r="S135" t="s">
        <v>26</v>
      </c>
    </row>
    <row r="136" spans="1:19" x14ac:dyDescent="0.3">
      <c r="A136" t="s">
        <v>226</v>
      </c>
      <c r="B136" s="9">
        <v>45988</v>
      </c>
      <c r="C136" t="s">
        <v>28</v>
      </c>
      <c r="D136" t="s">
        <v>29</v>
      </c>
      <c r="E136" t="s">
        <v>30</v>
      </c>
      <c r="F136">
        <v>35</v>
      </c>
      <c r="G136" s="12" t="str">
        <f t="shared" si="2"/>
        <v>35-40</v>
      </c>
      <c r="H136">
        <v>4</v>
      </c>
      <c r="I136">
        <v>2</v>
      </c>
      <c r="J136">
        <v>0</v>
      </c>
      <c r="K136" t="s">
        <v>22</v>
      </c>
      <c r="L136" t="s">
        <v>23</v>
      </c>
      <c r="M136">
        <v>2.91</v>
      </c>
      <c r="N136" t="s">
        <v>24</v>
      </c>
      <c r="O136" t="s">
        <v>25</v>
      </c>
      <c r="P136">
        <v>55713</v>
      </c>
      <c r="Q136">
        <v>1</v>
      </c>
      <c r="R136" t="s">
        <v>227</v>
      </c>
      <c r="S136" t="s">
        <v>25</v>
      </c>
    </row>
    <row r="137" spans="1:19" x14ac:dyDescent="0.3">
      <c r="A137" t="s">
        <v>228</v>
      </c>
      <c r="B137" s="9">
        <v>45503</v>
      </c>
      <c r="C137" t="s">
        <v>28</v>
      </c>
      <c r="D137" t="s">
        <v>29</v>
      </c>
      <c r="E137" t="s">
        <v>75</v>
      </c>
      <c r="F137">
        <v>25</v>
      </c>
      <c r="G137" s="12" t="str">
        <f t="shared" si="2"/>
        <v>25-29</v>
      </c>
      <c r="H137">
        <v>5</v>
      </c>
      <c r="I137">
        <v>5</v>
      </c>
      <c r="J137">
        <v>2</v>
      </c>
      <c r="K137" t="s">
        <v>22</v>
      </c>
      <c r="L137" t="s">
        <v>23</v>
      </c>
      <c r="M137">
        <v>4.0599999999999996</v>
      </c>
      <c r="N137" t="s">
        <v>171</v>
      </c>
      <c r="O137" t="s">
        <v>25</v>
      </c>
      <c r="P137">
        <v>88391</v>
      </c>
      <c r="Q137">
        <v>3</v>
      </c>
      <c r="R137" t="s">
        <v>26</v>
      </c>
      <c r="S137" t="s">
        <v>26</v>
      </c>
    </row>
    <row r="138" spans="1:19" x14ac:dyDescent="0.3">
      <c r="A138" t="s">
        <v>229</v>
      </c>
      <c r="B138" s="9">
        <v>45426</v>
      </c>
      <c r="C138" t="s">
        <v>52</v>
      </c>
      <c r="D138" t="s">
        <v>111</v>
      </c>
      <c r="E138" t="s">
        <v>33</v>
      </c>
      <c r="F138">
        <v>32</v>
      </c>
      <c r="G138" s="12" t="str">
        <f t="shared" si="2"/>
        <v>30-34</v>
      </c>
      <c r="H138">
        <v>7</v>
      </c>
      <c r="I138">
        <v>2</v>
      </c>
      <c r="J138">
        <v>2</v>
      </c>
      <c r="K138" t="s">
        <v>22</v>
      </c>
      <c r="L138" t="s">
        <v>23</v>
      </c>
      <c r="M138">
        <v>2.81</v>
      </c>
      <c r="N138" t="s">
        <v>24</v>
      </c>
      <c r="O138" t="s">
        <v>25</v>
      </c>
      <c r="P138">
        <v>77234</v>
      </c>
      <c r="Q138">
        <v>1</v>
      </c>
      <c r="R138" t="s">
        <v>25</v>
      </c>
      <c r="S138" t="s">
        <v>26</v>
      </c>
    </row>
    <row r="139" spans="1:19" x14ac:dyDescent="0.3">
      <c r="A139" t="s">
        <v>230</v>
      </c>
      <c r="B139" s="9">
        <v>45337</v>
      </c>
      <c r="C139" t="s">
        <v>28</v>
      </c>
      <c r="D139" t="s">
        <v>78</v>
      </c>
      <c r="E139" t="s">
        <v>33</v>
      </c>
      <c r="F139">
        <v>32</v>
      </c>
      <c r="G139" s="12" t="str">
        <f t="shared" si="2"/>
        <v>30-34</v>
      </c>
      <c r="H139">
        <v>5</v>
      </c>
      <c r="I139">
        <v>4</v>
      </c>
      <c r="J139">
        <v>4</v>
      </c>
      <c r="K139" t="s">
        <v>38</v>
      </c>
      <c r="L139" t="s">
        <v>23</v>
      </c>
      <c r="M139">
        <v>2.89</v>
      </c>
      <c r="N139" t="s">
        <v>223</v>
      </c>
      <c r="O139" t="s">
        <v>25</v>
      </c>
      <c r="P139">
        <v>162773</v>
      </c>
      <c r="Q139">
        <v>4</v>
      </c>
      <c r="R139" t="s">
        <v>25</v>
      </c>
      <c r="S139" t="s">
        <v>26</v>
      </c>
    </row>
    <row r="140" spans="1:19" x14ac:dyDescent="0.3">
      <c r="A140" t="s">
        <v>231</v>
      </c>
      <c r="B140" s="9">
        <v>45315</v>
      </c>
      <c r="C140" t="s">
        <v>19</v>
      </c>
      <c r="D140" t="s">
        <v>96</v>
      </c>
      <c r="E140" t="s">
        <v>75</v>
      </c>
      <c r="F140">
        <v>27</v>
      </c>
      <c r="G140" s="12" t="str">
        <f t="shared" si="2"/>
        <v>25-29</v>
      </c>
      <c r="H140">
        <v>1</v>
      </c>
      <c r="I140">
        <v>1</v>
      </c>
      <c r="J140">
        <v>7</v>
      </c>
      <c r="K140" t="s">
        <v>22</v>
      </c>
      <c r="L140" t="s">
        <v>23</v>
      </c>
      <c r="M140">
        <v>2.5099999999999998</v>
      </c>
      <c r="N140" t="s">
        <v>50</v>
      </c>
      <c r="O140" t="s">
        <v>25</v>
      </c>
      <c r="P140">
        <v>80398</v>
      </c>
      <c r="Q140">
        <v>2</v>
      </c>
      <c r="R140" t="s">
        <v>26</v>
      </c>
      <c r="S140" t="s">
        <v>26</v>
      </c>
    </row>
    <row r="141" spans="1:19" x14ac:dyDescent="0.3">
      <c r="A141" t="s">
        <v>232</v>
      </c>
      <c r="B141" s="9">
        <v>45897</v>
      </c>
      <c r="C141" t="s">
        <v>52</v>
      </c>
      <c r="D141" t="s">
        <v>64</v>
      </c>
      <c r="E141" t="s">
        <v>33</v>
      </c>
      <c r="F141">
        <v>27</v>
      </c>
      <c r="G141" s="12" t="str">
        <f t="shared" si="2"/>
        <v>25-29</v>
      </c>
      <c r="H141">
        <v>7</v>
      </c>
      <c r="I141">
        <v>6</v>
      </c>
      <c r="K141" t="s">
        <v>38</v>
      </c>
      <c r="L141" t="s">
        <v>23</v>
      </c>
      <c r="M141">
        <v>2.41</v>
      </c>
      <c r="N141" t="s">
        <v>102</v>
      </c>
      <c r="O141" t="s">
        <v>25</v>
      </c>
      <c r="P141">
        <v>168100</v>
      </c>
      <c r="Q141">
        <v>3</v>
      </c>
      <c r="R141" t="s">
        <v>46</v>
      </c>
      <c r="S141" t="s">
        <v>26</v>
      </c>
    </row>
    <row r="142" spans="1:19" x14ac:dyDescent="0.3">
      <c r="A142" t="s">
        <v>233</v>
      </c>
      <c r="B142" s="9">
        <v>45942</v>
      </c>
      <c r="C142" t="s">
        <v>28</v>
      </c>
      <c r="D142" t="s">
        <v>70</v>
      </c>
      <c r="E142" t="s">
        <v>21</v>
      </c>
      <c r="F142">
        <v>26</v>
      </c>
      <c r="G142" s="12" t="str">
        <f t="shared" si="2"/>
        <v>25-29</v>
      </c>
      <c r="H142">
        <v>4</v>
      </c>
      <c r="I142">
        <v>2</v>
      </c>
      <c r="J142">
        <v>7</v>
      </c>
      <c r="K142" t="s">
        <v>38</v>
      </c>
      <c r="L142" t="s">
        <v>23</v>
      </c>
      <c r="M142">
        <v>2.71</v>
      </c>
      <c r="N142" t="s">
        <v>94</v>
      </c>
      <c r="O142" t="s">
        <v>25</v>
      </c>
      <c r="P142">
        <v>109788</v>
      </c>
      <c r="Q142">
        <v>1</v>
      </c>
      <c r="R142" t="s">
        <v>26</v>
      </c>
      <c r="S142" t="s">
        <v>26</v>
      </c>
    </row>
    <row r="143" spans="1:19" x14ac:dyDescent="0.3">
      <c r="A143" t="s">
        <v>234</v>
      </c>
      <c r="B143" s="9">
        <v>45556</v>
      </c>
      <c r="C143" t="s">
        <v>28</v>
      </c>
      <c r="D143" t="s">
        <v>78</v>
      </c>
      <c r="E143" t="s">
        <v>54</v>
      </c>
      <c r="F143">
        <v>32</v>
      </c>
      <c r="G143" s="12" t="str">
        <f t="shared" si="2"/>
        <v>30-34</v>
      </c>
      <c r="H143">
        <v>7</v>
      </c>
      <c r="I143">
        <v>2</v>
      </c>
      <c r="J143">
        <v>2</v>
      </c>
      <c r="K143" t="s">
        <v>22</v>
      </c>
      <c r="L143" t="s">
        <v>42</v>
      </c>
      <c r="M143">
        <v>4.07</v>
      </c>
      <c r="N143" t="s">
        <v>50</v>
      </c>
      <c r="O143" t="s">
        <v>25</v>
      </c>
      <c r="P143">
        <v>15000</v>
      </c>
      <c r="Q143">
        <v>4</v>
      </c>
      <c r="R143" t="s">
        <v>188</v>
      </c>
      <c r="S143" t="s">
        <v>26</v>
      </c>
    </row>
    <row r="144" spans="1:19" x14ac:dyDescent="0.3">
      <c r="A144" t="s">
        <v>235</v>
      </c>
      <c r="B144" s="9">
        <v>45887</v>
      </c>
      <c r="C144" t="s">
        <v>52</v>
      </c>
      <c r="D144" t="s">
        <v>111</v>
      </c>
      <c r="E144" t="s">
        <v>33</v>
      </c>
      <c r="F144">
        <v>30</v>
      </c>
      <c r="G144" s="12" t="str">
        <f t="shared" si="2"/>
        <v>30-34</v>
      </c>
      <c r="H144">
        <v>7</v>
      </c>
      <c r="I144">
        <v>5</v>
      </c>
      <c r="J144">
        <v>4</v>
      </c>
      <c r="K144" t="s">
        <v>22</v>
      </c>
      <c r="L144" t="s">
        <v>42</v>
      </c>
      <c r="M144">
        <v>2.8</v>
      </c>
      <c r="N144" t="s">
        <v>50</v>
      </c>
      <c r="O144" t="s">
        <v>25</v>
      </c>
      <c r="P144">
        <v>74978</v>
      </c>
      <c r="Q144">
        <v>1</v>
      </c>
      <c r="R144" t="s">
        <v>25</v>
      </c>
      <c r="S144" t="s">
        <v>26</v>
      </c>
    </row>
    <row r="145" spans="1:19" x14ac:dyDescent="0.3">
      <c r="A145" t="s">
        <v>236</v>
      </c>
      <c r="B145" s="9">
        <v>45575</v>
      </c>
      <c r="C145" t="s">
        <v>28</v>
      </c>
      <c r="D145" t="s">
        <v>124</v>
      </c>
      <c r="E145" t="s">
        <v>37</v>
      </c>
      <c r="F145">
        <v>34</v>
      </c>
      <c r="G145" s="12" t="str">
        <f t="shared" si="2"/>
        <v>30-34</v>
      </c>
      <c r="H145">
        <v>7</v>
      </c>
      <c r="I145">
        <v>5</v>
      </c>
      <c r="J145">
        <v>5</v>
      </c>
      <c r="K145" t="s">
        <v>22</v>
      </c>
      <c r="L145" t="s">
        <v>23</v>
      </c>
      <c r="M145">
        <v>3.18</v>
      </c>
      <c r="N145" t="s">
        <v>24</v>
      </c>
      <c r="O145" t="s">
        <v>25</v>
      </c>
      <c r="P145">
        <v>55909</v>
      </c>
      <c r="Q145">
        <v>1</v>
      </c>
      <c r="R145" t="s">
        <v>25</v>
      </c>
      <c r="S145" t="s">
        <v>26</v>
      </c>
    </row>
    <row r="146" spans="1:19" x14ac:dyDescent="0.3">
      <c r="A146" t="s">
        <v>237</v>
      </c>
      <c r="B146" s="9">
        <v>45372</v>
      </c>
      <c r="C146" t="s">
        <v>19</v>
      </c>
      <c r="D146" t="s">
        <v>57</v>
      </c>
      <c r="E146" t="s">
        <v>30</v>
      </c>
      <c r="F146">
        <v>30</v>
      </c>
      <c r="G146" s="12" t="str">
        <f t="shared" si="2"/>
        <v>30-34</v>
      </c>
      <c r="H146">
        <v>5</v>
      </c>
      <c r="I146">
        <v>0</v>
      </c>
      <c r="J146">
        <v>1</v>
      </c>
      <c r="K146" t="s">
        <v>22</v>
      </c>
      <c r="L146" t="s">
        <v>23</v>
      </c>
      <c r="M146">
        <v>2.36</v>
      </c>
      <c r="N146" t="s">
        <v>24</v>
      </c>
      <c r="O146" t="s">
        <v>25</v>
      </c>
      <c r="P146">
        <v>83581</v>
      </c>
      <c r="Q146">
        <v>2</v>
      </c>
      <c r="R146" t="s">
        <v>25</v>
      </c>
      <c r="S146" t="s">
        <v>26</v>
      </c>
    </row>
    <row r="147" spans="1:19" x14ac:dyDescent="0.3">
      <c r="A147" t="s">
        <v>238</v>
      </c>
      <c r="B147" s="9">
        <v>45879</v>
      </c>
      <c r="C147" t="s">
        <v>19</v>
      </c>
      <c r="D147" t="s">
        <v>96</v>
      </c>
      <c r="E147" t="s">
        <v>30</v>
      </c>
      <c r="F147">
        <v>28</v>
      </c>
      <c r="G147" s="12" t="str">
        <f t="shared" si="2"/>
        <v>25-29</v>
      </c>
      <c r="H147">
        <v>4</v>
      </c>
      <c r="I147">
        <v>4</v>
      </c>
      <c r="J147">
        <v>5</v>
      </c>
      <c r="K147" t="s">
        <v>22</v>
      </c>
      <c r="L147" t="s">
        <v>23</v>
      </c>
      <c r="M147">
        <v>3.29</v>
      </c>
      <c r="N147" t="s">
        <v>102</v>
      </c>
      <c r="O147" t="s">
        <v>25</v>
      </c>
      <c r="P147">
        <v>51506</v>
      </c>
      <c r="Q147">
        <v>1</v>
      </c>
      <c r="R147" t="s">
        <v>25</v>
      </c>
      <c r="S147" t="s">
        <v>26</v>
      </c>
    </row>
    <row r="148" spans="1:19" x14ac:dyDescent="0.3">
      <c r="A148" t="s">
        <v>239</v>
      </c>
      <c r="B148" s="9">
        <v>45645</v>
      </c>
      <c r="C148" t="s">
        <v>52</v>
      </c>
      <c r="D148" t="s">
        <v>87</v>
      </c>
      <c r="E148" t="s">
        <v>30</v>
      </c>
      <c r="F148">
        <v>29</v>
      </c>
      <c r="G148" s="12" t="str">
        <f t="shared" si="2"/>
        <v>25-29</v>
      </c>
      <c r="H148">
        <v>5</v>
      </c>
      <c r="I148">
        <v>3</v>
      </c>
      <c r="J148">
        <v>3</v>
      </c>
      <c r="K148" t="s">
        <v>22</v>
      </c>
      <c r="L148" t="s">
        <v>42</v>
      </c>
      <c r="M148">
        <v>3.32</v>
      </c>
      <c r="N148" t="s">
        <v>24</v>
      </c>
      <c r="O148" t="s">
        <v>25</v>
      </c>
      <c r="P148">
        <v>22435</v>
      </c>
      <c r="Q148">
        <v>3</v>
      </c>
      <c r="R148" t="s">
        <v>25</v>
      </c>
      <c r="S148" t="s">
        <v>26</v>
      </c>
    </row>
    <row r="149" spans="1:19" x14ac:dyDescent="0.3">
      <c r="A149" t="s">
        <v>240</v>
      </c>
      <c r="B149" s="9">
        <v>45666</v>
      </c>
      <c r="C149" t="s">
        <v>19</v>
      </c>
      <c r="D149" t="s">
        <v>72</v>
      </c>
      <c r="E149" t="s">
        <v>75</v>
      </c>
      <c r="F149">
        <v>31</v>
      </c>
      <c r="G149" s="12" t="str">
        <f t="shared" si="2"/>
        <v>30-34</v>
      </c>
      <c r="H149">
        <v>1</v>
      </c>
      <c r="I149">
        <v>0</v>
      </c>
      <c r="J149">
        <v>5</v>
      </c>
      <c r="K149" t="s">
        <v>38</v>
      </c>
      <c r="L149" t="s">
        <v>55</v>
      </c>
      <c r="M149">
        <v>3.64</v>
      </c>
      <c r="N149" t="s">
        <v>99</v>
      </c>
      <c r="O149" t="s">
        <v>25</v>
      </c>
      <c r="P149">
        <v>186636</v>
      </c>
      <c r="Q149">
        <v>5</v>
      </c>
      <c r="R149" t="s">
        <v>25</v>
      </c>
      <c r="S149" t="s">
        <v>26</v>
      </c>
    </row>
    <row r="150" spans="1:19" x14ac:dyDescent="0.3">
      <c r="A150" t="s">
        <v>241</v>
      </c>
      <c r="B150" s="9">
        <v>45865</v>
      </c>
      <c r="C150" t="s">
        <v>35</v>
      </c>
      <c r="D150" t="s">
        <v>121</v>
      </c>
      <c r="E150" t="s">
        <v>30</v>
      </c>
      <c r="F150">
        <v>34</v>
      </c>
      <c r="G150" s="12" t="str">
        <f t="shared" si="2"/>
        <v>30-34</v>
      </c>
      <c r="H150">
        <v>4</v>
      </c>
      <c r="I150">
        <v>2</v>
      </c>
      <c r="J150">
        <v>2</v>
      </c>
      <c r="K150" t="s">
        <v>22</v>
      </c>
      <c r="L150" t="s">
        <v>23</v>
      </c>
      <c r="M150">
        <v>2.76</v>
      </c>
      <c r="N150" t="s">
        <v>50</v>
      </c>
      <c r="O150" t="s">
        <v>25</v>
      </c>
      <c r="P150">
        <v>65652</v>
      </c>
      <c r="Q150">
        <v>2</v>
      </c>
      <c r="R150" t="s">
        <v>25</v>
      </c>
      <c r="S150" t="s">
        <v>26</v>
      </c>
    </row>
    <row r="151" spans="1:19" x14ac:dyDescent="0.3">
      <c r="A151" t="s">
        <v>242</v>
      </c>
      <c r="B151" s="9">
        <v>45965</v>
      </c>
      <c r="C151" t="s">
        <v>59</v>
      </c>
      <c r="D151" t="s">
        <v>49</v>
      </c>
      <c r="E151" t="s">
        <v>30</v>
      </c>
      <c r="F151">
        <v>25</v>
      </c>
      <c r="G151" s="12" t="str">
        <f t="shared" si="2"/>
        <v>25-29</v>
      </c>
      <c r="H151">
        <v>3</v>
      </c>
      <c r="I151">
        <v>1</v>
      </c>
      <c r="J151">
        <v>5</v>
      </c>
      <c r="K151" t="s">
        <v>22</v>
      </c>
      <c r="L151" t="s">
        <v>23</v>
      </c>
      <c r="M151">
        <v>2.68</v>
      </c>
      <c r="N151" t="s">
        <v>24</v>
      </c>
      <c r="O151" t="s">
        <v>25</v>
      </c>
      <c r="P151">
        <v>49712</v>
      </c>
      <c r="Q151">
        <v>1</v>
      </c>
      <c r="R151" t="s">
        <v>25</v>
      </c>
      <c r="S151" t="s">
        <v>26</v>
      </c>
    </row>
    <row r="152" spans="1:19" x14ac:dyDescent="0.3">
      <c r="B152"/>
    </row>
  </sheetData>
  <autoFilter ref="A1:S151" xr:uid="{00000000-0009-0000-0000-000000000000}"/>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650859-1D6E-4196-A932-210EAB7823BF}">
  <dimension ref="A3:M70"/>
  <sheetViews>
    <sheetView topLeftCell="A44" zoomScale="102" zoomScaleNormal="102" workbookViewId="0">
      <selection activeCell="E55" sqref="E55"/>
    </sheetView>
  </sheetViews>
  <sheetFormatPr defaultRowHeight="14.4" x14ac:dyDescent="0.3"/>
  <cols>
    <col min="1" max="1" width="11" bestFit="1" customWidth="1"/>
    <col min="2" max="2" width="17.77734375" bestFit="1" customWidth="1"/>
    <col min="3" max="3" width="8.77734375" bestFit="1" customWidth="1"/>
    <col min="4" max="4" width="6.77734375" bestFit="1" customWidth="1"/>
    <col min="5" max="5" width="11" bestFit="1" customWidth="1"/>
    <col min="6" max="6" width="17" bestFit="1" customWidth="1"/>
    <col min="7" max="7" width="11" bestFit="1" customWidth="1"/>
    <col min="9" max="9" width="16.6640625" bestFit="1" customWidth="1"/>
    <col min="10" max="10" width="24.88671875" bestFit="1" customWidth="1"/>
    <col min="11" max="11" width="14.6640625" bestFit="1" customWidth="1"/>
    <col min="12" max="12" width="8.5546875" bestFit="1" customWidth="1"/>
    <col min="13" max="13" width="11" bestFit="1" customWidth="1"/>
  </cols>
  <sheetData>
    <row r="3" spans="1:13" x14ac:dyDescent="0.3">
      <c r="A3" s="15" t="s">
        <v>9</v>
      </c>
      <c r="B3" t="s">
        <v>405</v>
      </c>
      <c r="E3" s="15" t="s">
        <v>416</v>
      </c>
      <c r="F3" t="s">
        <v>405</v>
      </c>
      <c r="I3" s="15" t="s">
        <v>9</v>
      </c>
      <c r="J3" s="15" t="s">
        <v>412</v>
      </c>
    </row>
    <row r="4" spans="1:13" x14ac:dyDescent="0.3">
      <c r="A4" s="16" t="s">
        <v>38</v>
      </c>
      <c r="B4" s="17">
        <v>47</v>
      </c>
      <c r="E4" s="16" t="s">
        <v>54</v>
      </c>
      <c r="F4" s="17">
        <v>21</v>
      </c>
      <c r="I4" s="15" t="s">
        <v>4</v>
      </c>
      <c r="J4" t="s">
        <v>23</v>
      </c>
      <c r="K4" t="s">
        <v>55</v>
      </c>
      <c r="L4" t="s">
        <v>42</v>
      </c>
      <c r="M4" t="s">
        <v>403</v>
      </c>
    </row>
    <row r="5" spans="1:13" x14ac:dyDescent="0.3">
      <c r="A5" s="16" t="s">
        <v>22</v>
      </c>
      <c r="B5" s="17">
        <v>103</v>
      </c>
      <c r="E5" s="16" t="s">
        <v>75</v>
      </c>
      <c r="F5" s="17">
        <v>23</v>
      </c>
      <c r="I5" s="16" t="s">
        <v>54</v>
      </c>
      <c r="J5" s="17">
        <v>19</v>
      </c>
      <c r="K5" s="17">
        <v>1</v>
      </c>
      <c r="L5" s="17">
        <v>1</v>
      </c>
      <c r="M5" s="17">
        <v>21</v>
      </c>
    </row>
    <row r="6" spans="1:13" x14ac:dyDescent="0.3">
      <c r="A6" s="16" t="s">
        <v>403</v>
      </c>
      <c r="B6" s="17">
        <v>150</v>
      </c>
      <c r="E6" s="16" t="s">
        <v>37</v>
      </c>
      <c r="F6" s="17">
        <v>26</v>
      </c>
      <c r="I6" s="16" t="s">
        <v>75</v>
      </c>
      <c r="J6" s="17">
        <v>21</v>
      </c>
      <c r="K6" s="17">
        <v>2</v>
      </c>
      <c r="L6" s="17"/>
      <c r="M6" s="17">
        <v>23</v>
      </c>
    </row>
    <row r="7" spans="1:13" x14ac:dyDescent="0.3">
      <c r="E7" s="16" t="s">
        <v>33</v>
      </c>
      <c r="F7" s="17">
        <v>19</v>
      </c>
      <c r="I7" s="16" t="s">
        <v>37</v>
      </c>
      <c r="J7" s="17">
        <v>24</v>
      </c>
      <c r="K7" s="17">
        <v>1</v>
      </c>
      <c r="L7" s="17">
        <v>1</v>
      </c>
      <c r="M7" s="17">
        <v>26</v>
      </c>
    </row>
    <row r="8" spans="1:13" x14ac:dyDescent="0.3">
      <c r="E8" s="16" t="s">
        <v>30</v>
      </c>
      <c r="F8" s="17">
        <v>35</v>
      </c>
      <c r="I8" s="16" t="s">
        <v>33</v>
      </c>
      <c r="J8" s="17">
        <v>18</v>
      </c>
      <c r="K8" s="17"/>
      <c r="L8" s="17">
        <v>1</v>
      </c>
      <c r="M8" s="17">
        <v>19</v>
      </c>
    </row>
    <row r="9" spans="1:13" x14ac:dyDescent="0.3">
      <c r="E9" s="16" t="s">
        <v>21</v>
      </c>
      <c r="F9" s="17">
        <v>26</v>
      </c>
      <c r="I9" s="16" t="s">
        <v>30</v>
      </c>
      <c r="J9" s="17">
        <v>32</v>
      </c>
      <c r="K9" s="17"/>
      <c r="L9" s="17">
        <v>3</v>
      </c>
      <c r="M9" s="17">
        <v>35</v>
      </c>
    </row>
    <row r="10" spans="1:13" x14ac:dyDescent="0.3">
      <c r="E10" s="16" t="s">
        <v>403</v>
      </c>
      <c r="F10" s="17">
        <v>150</v>
      </c>
      <c r="I10" s="16" t="s">
        <v>21</v>
      </c>
      <c r="J10" s="17">
        <v>24</v>
      </c>
      <c r="K10" s="17"/>
      <c r="L10" s="17">
        <v>2</v>
      </c>
      <c r="M10" s="17">
        <v>26</v>
      </c>
    </row>
    <row r="11" spans="1:13" x14ac:dyDescent="0.3">
      <c r="A11" s="15" t="s">
        <v>2</v>
      </c>
      <c r="B11" t="s">
        <v>405</v>
      </c>
      <c r="I11" s="16" t="s">
        <v>403</v>
      </c>
      <c r="J11" s="17">
        <v>138</v>
      </c>
      <c r="K11" s="17">
        <v>4</v>
      </c>
      <c r="L11" s="17">
        <v>8</v>
      </c>
      <c r="M11" s="17">
        <v>150</v>
      </c>
    </row>
    <row r="12" spans="1:13" x14ac:dyDescent="0.3">
      <c r="A12" s="16" t="s">
        <v>35</v>
      </c>
      <c r="B12" s="17">
        <v>31</v>
      </c>
      <c r="E12" s="15" t="s">
        <v>16</v>
      </c>
      <c r="F12" t="s">
        <v>405</v>
      </c>
    </row>
    <row r="13" spans="1:13" x14ac:dyDescent="0.3">
      <c r="A13" s="16" t="s">
        <v>19</v>
      </c>
      <c r="B13" s="17">
        <v>20</v>
      </c>
      <c r="E13" s="16" t="s">
        <v>25</v>
      </c>
      <c r="F13" s="17">
        <v>118</v>
      </c>
    </row>
    <row r="14" spans="1:13" x14ac:dyDescent="0.3">
      <c r="A14" s="16" t="s">
        <v>28</v>
      </c>
      <c r="B14" s="17">
        <v>43</v>
      </c>
      <c r="E14" s="16" t="s">
        <v>26</v>
      </c>
      <c r="F14" s="17">
        <v>32</v>
      </c>
    </row>
    <row r="15" spans="1:13" x14ac:dyDescent="0.3">
      <c r="A15" s="16" t="s">
        <v>52</v>
      </c>
      <c r="B15" s="17">
        <v>27</v>
      </c>
      <c r="E15" s="16" t="s">
        <v>403</v>
      </c>
      <c r="F15" s="17">
        <v>150</v>
      </c>
    </row>
    <row r="16" spans="1:13" x14ac:dyDescent="0.3">
      <c r="A16" s="16" t="s">
        <v>59</v>
      </c>
      <c r="B16" s="17">
        <v>29</v>
      </c>
      <c r="I16" s="15" t="s">
        <v>9</v>
      </c>
      <c r="J16" t="s">
        <v>413</v>
      </c>
    </row>
    <row r="17" spans="1:10" x14ac:dyDescent="0.3">
      <c r="A17" s="16" t="s">
        <v>403</v>
      </c>
      <c r="B17" s="17">
        <v>150</v>
      </c>
      <c r="I17" s="16" t="s">
        <v>38</v>
      </c>
      <c r="J17" s="17">
        <v>6566160</v>
      </c>
    </row>
    <row r="18" spans="1:10" x14ac:dyDescent="0.3">
      <c r="I18" s="16" t="s">
        <v>22</v>
      </c>
      <c r="J18" s="17">
        <v>6779122</v>
      </c>
    </row>
    <row r="19" spans="1:10" x14ac:dyDescent="0.3">
      <c r="I19" s="16" t="s">
        <v>403</v>
      </c>
      <c r="J19" s="17">
        <v>13345282</v>
      </c>
    </row>
    <row r="21" spans="1:10" x14ac:dyDescent="0.3">
      <c r="A21" s="15" t="s">
        <v>3</v>
      </c>
      <c r="B21" t="s">
        <v>405</v>
      </c>
      <c r="E21" s="15" t="s">
        <v>10</v>
      </c>
      <c r="F21" t="s">
        <v>405</v>
      </c>
    </row>
    <row r="22" spans="1:10" x14ac:dyDescent="0.3">
      <c r="A22" s="16" t="s">
        <v>45</v>
      </c>
      <c r="B22" s="17">
        <v>7</v>
      </c>
      <c r="E22" s="16" t="s">
        <v>23</v>
      </c>
      <c r="F22" s="17">
        <v>138</v>
      </c>
    </row>
    <row r="23" spans="1:10" x14ac:dyDescent="0.3">
      <c r="A23" s="16" t="s">
        <v>70</v>
      </c>
      <c r="B23" s="17">
        <v>8</v>
      </c>
      <c r="E23" s="16" t="s">
        <v>55</v>
      </c>
      <c r="F23" s="17">
        <v>4</v>
      </c>
    </row>
    <row r="24" spans="1:10" x14ac:dyDescent="0.3">
      <c r="A24" s="16" t="s">
        <v>78</v>
      </c>
      <c r="B24" s="17">
        <v>16</v>
      </c>
      <c r="E24" s="16" t="s">
        <v>42</v>
      </c>
      <c r="F24" s="17">
        <v>8</v>
      </c>
    </row>
    <row r="25" spans="1:10" x14ac:dyDescent="0.3">
      <c r="A25" s="16" t="s">
        <v>20</v>
      </c>
      <c r="B25" s="17">
        <v>7</v>
      </c>
      <c r="E25" s="16" t="s">
        <v>403</v>
      </c>
      <c r="F25" s="17">
        <v>150</v>
      </c>
      <c r="I25" s="15" t="s">
        <v>402</v>
      </c>
      <c r="J25" t="s">
        <v>414</v>
      </c>
    </row>
    <row r="26" spans="1:10" x14ac:dyDescent="0.3">
      <c r="A26" s="16" t="s">
        <v>129</v>
      </c>
      <c r="B26" s="17">
        <v>4</v>
      </c>
      <c r="I26" s="16" t="s">
        <v>406</v>
      </c>
      <c r="J26" s="17">
        <v>25</v>
      </c>
    </row>
    <row r="27" spans="1:10" x14ac:dyDescent="0.3">
      <c r="A27" s="16" t="s">
        <v>111</v>
      </c>
      <c r="B27" s="17">
        <v>7</v>
      </c>
      <c r="I27" s="16" t="s">
        <v>407</v>
      </c>
      <c r="J27" s="17">
        <v>63</v>
      </c>
    </row>
    <row r="28" spans="1:10" x14ac:dyDescent="0.3">
      <c r="A28" s="16" t="s">
        <v>29</v>
      </c>
      <c r="B28" s="17">
        <v>12</v>
      </c>
      <c r="I28" s="16" t="s">
        <v>408</v>
      </c>
      <c r="J28" s="17">
        <v>50</v>
      </c>
    </row>
    <row r="29" spans="1:10" x14ac:dyDescent="0.3">
      <c r="A29" s="16" t="s">
        <v>96</v>
      </c>
      <c r="B29" s="17">
        <v>4</v>
      </c>
      <c r="I29" s="16" t="s">
        <v>409</v>
      </c>
      <c r="J29" s="17">
        <v>10</v>
      </c>
    </row>
    <row r="30" spans="1:10" x14ac:dyDescent="0.3">
      <c r="A30" s="16" t="s">
        <v>121</v>
      </c>
      <c r="B30" s="17">
        <v>8</v>
      </c>
      <c r="E30" s="15" t="s">
        <v>12</v>
      </c>
      <c r="F30" t="s">
        <v>405</v>
      </c>
      <c r="I30" s="16" t="s">
        <v>410</v>
      </c>
      <c r="J30" s="17">
        <v>1</v>
      </c>
    </row>
    <row r="31" spans="1:10" x14ac:dyDescent="0.3">
      <c r="A31" s="16" t="s">
        <v>72</v>
      </c>
      <c r="B31" s="17">
        <v>5</v>
      </c>
      <c r="E31" s="16" t="s">
        <v>88</v>
      </c>
      <c r="F31" s="17">
        <v>5</v>
      </c>
      <c r="I31" s="16" t="s">
        <v>411</v>
      </c>
      <c r="J31" s="17">
        <v>1</v>
      </c>
    </row>
    <row r="32" spans="1:10" x14ac:dyDescent="0.3">
      <c r="A32" s="16" t="s">
        <v>87</v>
      </c>
      <c r="B32" s="17">
        <v>7</v>
      </c>
      <c r="E32" s="16" t="s">
        <v>80</v>
      </c>
      <c r="F32" s="17">
        <v>3</v>
      </c>
      <c r="I32" s="16" t="s">
        <v>403</v>
      </c>
      <c r="J32" s="17">
        <v>150</v>
      </c>
    </row>
    <row r="33" spans="1:13" x14ac:dyDescent="0.3">
      <c r="A33" s="16" t="s">
        <v>36</v>
      </c>
      <c r="B33" s="17">
        <v>7</v>
      </c>
      <c r="E33" s="16" t="s">
        <v>171</v>
      </c>
      <c r="F33" s="17">
        <v>5</v>
      </c>
    </row>
    <row r="34" spans="1:13" x14ac:dyDescent="0.3">
      <c r="A34" s="16" t="s">
        <v>124</v>
      </c>
      <c r="B34" s="17">
        <v>6</v>
      </c>
      <c r="E34" s="16" t="s">
        <v>24</v>
      </c>
      <c r="F34" s="17">
        <v>93</v>
      </c>
    </row>
    <row r="35" spans="1:13" x14ac:dyDescent="0.3">
      <c r="A35" s="16" t="s">
        <v>60</v>
      </c>
      <c r="B35" s="17">
        <v>6</v>
      </c>
      <c r="E35" s="16" t="s">
        <v>50</v>
      </c>
      <c r="F35" s="17">
        <v>17</v>
      </c>
    </row>
    <row r="36" spans="1:13" x14ac:dyDescent="0.3">
      <c r="A36" s="16" t="s">
        <v>57</v>
      </c>
      <c r="B36" s="17">
        <v>4</v>
      </c>
      <c r="E36" s="16" t="s">
        <v>94</v>
      </c>
      <c r="F36" s="17">
        <v>10</v>
      </c>
      <c r="I36" s="15" t="s">
        <v>413</v>
      </c>
      <c r="J36" s="15" t="s">
        <v>412</v>
      </c>
    </row>
    <row r="37" spans="1:13" x14ac:dyDescent="0.3">
      <c r="A37" s="16" t="s">
        <v>49</v>
      </c>
      <c r="B37" s="17">
        <v>10</v>
      </c>
      <c r="E37" s="16" t="s">
        <v>102</v>
      </c>
      <c r="F37" s="17">
        <v>17</v>
      </c>
      <c r="I37" s="15" t="s">
        <v>402</v>
      </c>
      <c r="J37" t="s">
        <v>23</v>
      </c>
      <c r="K37" t="s">
        <v>55</v>
      </c>
      <c r="L37" t="s">
        <v>42</v>
      </c>
      <c r="M37" t="s">
        <v>403</v>
      </c>
    </row>
    <row r="38" spans="1:13" x14ac:dyDescent="0.3">
      <c r="A38" s="16" t="s">
        <v>91</v>
      </c>
      <c r="B38" s="17">
        <v>8</v>
      </c>
      <c r="E38" s="16" t="s">
        <v>403</v>
      </c>
      <c r="F38" s="17">
        <v>150</v>
      </c>
      <c r="I38" s="16" t="s">
        <v>88</v>
      </c>
      <c r="J38" s="17">
        <v>657032</v>
      </c>
      <c r="K38" s="17"/>
      <c r="L38" s="17"/>
      <c r="M38" s="17">
        <v>657032</v>
      </c>
    </row>
    <row r="39" spans="1:13" x14ac:dyDescent="0.3">
      <c r="A39" s="16" t="s">
        <v>74</v>
      </c>
      <c r="B39" s="17">
        <v>5</v>
      </c>
      <c r="I39" s="16" t="s">
        <v>80</v>
      </c>
      <c r="J39" s="17">
        <v>261628</v>
      </c>
      <c r="K39" s="17"/>
      <c r="L39" s="17"/>
      <c r="M39" s="17">
        <v>261628</v>
      </c>
    </row>
    <row r="40" spans="1:13" x14ac:dyDescent="0.3">
      <c r="A40" s="16" t="s">
        <v>64</v>
      </c>
      <c r="B40" s="17">
        <v>11</v>
      </c>
      <c r="I40" s="16" t="s">
        <v>171</v>
      </c>
      <c r="J40" s="17">
        <v>257452</v>
      </c>
      <c r="K40" s="17"/>
      <c r="L40" s="17">
        <v>273127</v>
      </c>
      <c r="M40" s="17">
        <v>530579</v>
      </c>
    </row>
    <row r="41" spans="1:13" x14ac:dyDescent="0.3">
      <c r="A41" s="16" t="s">
        <v>40</v>
      </c>
      <c r="B41" s="17">
        <v>8</v>
      </c>
      <c r="I41" s="16" t="s">
        <v>24</v>
      </c>
      <c r="J41" s="17">
        <v>7579628</v>
      </c>
      <c r="K41" s="17">
        <v>424930</v>
      </c>
      <c r="L41" s="17">
        <v>121689</v>
      </c>
      <c r="M41" s="17">
        <v>8126247</v>
      </c>
    </row>
    <row r="42" spans="1:13" x14ac:dyDescent="0.3">
      <c r="A42" s="16" t="s">
        <v>403</v>
      </c>
      <c r="B42" s="17">
        <v>150</v>
      </c>
      <c r="I42" s="16" t="s">
        <v>50</v>
      </c>
      <c r="J42" s="17">
        <v>1156038</v>
      </c>
      <c r="K42" s="17">
        <v>31795</v>
      </c>
      <c r="L42" s="17">
        <v>89978</v>
      </c>
      <c r="M42" s="17">
        <v>1277811</v>
      </c>
    </row>
    <row r="43" spans="1:13" x14ac:dyDescent="0.3">
      <c r="E43" s="15" t="s">
        <v>402</v>
      </c>
      <c r="F43" t="s">
        <v>9</v>
      </c>
      <c r="I43" s="16" t="s">
        <v>94</v>
      </c>
      <c r="J43" s="17">
        <v>946200</v>
      </c>
      <c r="K43" s="17"/>
      <c r="L43" s="17">
        <v>29381</v>
      </c>
      <c r="M43" s="17">
        <v>975581</v>
      </c>
    </row>
    <row r="44" spans="1:13" x14ac:dyDescent="0.3">
      <c r="E44" s="16" t="s">
        <v>406</v>
      </c>
      <c r="F44" s="17">
        <v>25</v>
      </c>
      <c r="I44" s="16" t="s">
        <v>102</v>
      </c>
      <c r="J44" s="17">
        <v>1516404</v>
      </c>
      <c r="K44" s="17"/>
      <c r="L44" s="17"/>
      <c r="M44" s="17">
        <v>1516404</v>
      </c>
    </row>
    <row r="45" spans="1:13" x14ac:dyDescent="0.3">
      <c r="E45" s="16" t="s">
        <v>407</v>
      </c>
      <c r="F45" s="17">
        <v>63</v>
      </c>
      <c r="I45" s="16" t="s">
        <v>403</v>
      </c>
      <c r="J45" s="17">
        <v>12374382</v>
      </c>
      <c r="K45" s="17">
        <v>456725</v>
      </c>
      <c r="L45" s="17">
        <v>514175</v>
      </c>
      <c r="M45" s="17">
        <v>13345282</v>
      </c>
    </row>
    <row r="46" spans="1:13" x14ac:dyDescent="0.3">
      <c r="E46" s="16" t="s">
        <v>408</v>
      </c>
      <c r="F46" s="17">
        <v>50</v>
      </c>
    </row>
    <row r="47" spans="1:13" x14ac:dyDescent="0.3">
      <c r="A47" s="15" t="s">
        <v>13</v>
      </c>
      <c r="B47" t="s">
        <v>405</v>
      </c>
      <c r="E47" s="16" t="s">
        <v>409</v>
      </c>
      <c r="F47" s="17">
        <v>10</v>
      </c>
    </row>
    <row r="48" spans="1:13" x14ac:dyDescent="0.3">
      <c r="A48" s="16" t="s">
        <v>25</v>
      </c>
      <c r="B48" s="17">
        <v>150</v>
      </c>
      <c r="E48" s="16" t="s">
        <v>410</v>
      </c>
      <c r="F48" s="17">
        <v>1</v>
      </c>
    </row>
    <row r="49" spans="1:6" x14ac:dyDescent="0.3">
      <c r="A49" s="16" t="s">
        <v>403</v>
      </c>
      <c r="B49" s="17">
        <v>150</v>
      </c>
      <c r="E49" s="16" t="s">
        <v>411</v>
      </c>
      <c r="F49" s="17">
        <v>1</v>
      </c>
    </row>
    <row r="50" spans="1:6" x14ac:dyDescent="0.3">
      <c r="E50" s="16" t="s">
        <v>403</v>
      </c>
      <c r="F50" s="17">
        <v>150</v>
      </c>
    </row>
    <row r="53" spans="1:6" x14ac:dyDescent="0.3">
      <c r="A53" s="15" t="s">
        <v>402</v>
      </c>
      <c r="B53" t="s">
        <v>9</v>
      </c>
    </row>
    <row r="54" spans="1:6" x14ac:dyDescent="0.3">
      <c r="A54" s="16" t="s">
        <v>406</v>
      </c>
      <c r="B54" s="17">
        <v>25</v>
      </c>
    </row>
    <row r="55" spans="1:6" x14ac:dyDescent="0.3">
      <c r="A55" s="16" t="s">
        <v>407</v>
      </c>
      <c r="B55" s="17">
        <v>63</v>
      </c>
      <c r="E55" s="15" t="s">
        <v>2</v>
      </c>
      <c r="F55" t="s">
        <v>415</v>
      </c>
    </row>
    <row r="56" spans="1:6" x14ac:dyDescent="0.3">
      <c r="A56" s="16" t="s">
        <v>408</v>
      </c>
      <c r="B56" s="17">
        <v>50</v>
      </c>
      <c r="E56" s="16" t="s">
        <v>35</v>
      </c>
      <c r="F56" s="17">
        <v>123</v>
      </c>
    </row>
    <row r="57" spans="1:6" x14ac:dyDescent="0.3">
      <c r="A57" s="16" t="s">
        <v>409</v>
      </c>
      <c r="B57" s="17">
        <v>10</v>
      </c>
      <c r="E57" s="16" t="s">
        <v>19</v>
      </c>
      <c r="F57" s="17">
        <v>106</v>
      </c>
    </row>
    <row r="58" spans="1:6" x14ac:dyDescent="0.3">
      <c r="A58" s="16" t="s">
        <v>410</v>
      </c>
      <c r="B58" s="17">
        <v>1</v>
      </c>
      <c r="E58" s="16" t="s">
        <v>28</v>
      </c>
      <c r="F58" s="17">
        <v>209</v>
      </c>
    </row>
    <row r="59" spans="1:6" x14ac:dyDescent="0.3">
      <c r="A59" s="16" t="s">
        <v>411</v>
      </c>
      <c r="B59" s="17">
        <v>1</v>
      </c>
      <c r="E59" s="16" t="s">
        <v>52</v>
      </c>
      <c r="F59" s="17">
        <v>101</v>
      </c>
    </row>
    <row r="60" spans="1:6" x14ac:dyDescent="0.3">
      <c r="A60" s="16" t="s">
        <v>403</v>
      </c>
      <c r="B60" s="17">
        <v>150</v>
      </c>
      <c r="E60" s="16" t="s">
        <v>59</v>
      </c>
      <c r="F60" s="17">
        <v>129</v>
      </c>
    </row>
    <row r="61" spans="1:6" x14ac:dyDescent="0.3">
      <c r="E61" s="16" t="s">
        <v>403</v>
      </c>
      <c r="F61" s="17">
        <v>668</v>
      </c>
    </row>
    <row r="65" spans="1:7" x14ac:dyDescent="0.3">
      <c r="A65" s="15" t="s">
        <v>9</v>
      </c>
      <c r="B65" s="15" t="s">
        <v>412</v>
      </c>
    </row>
    <row r="66" spans="1:7" x14ac:dyDescent="0.3">
      <c r="A66" s="15" t="s">
        <v>10</v>
      </c>
      <c r="B66" t="s">
        <v>35</v>
      </c>
      <c r="C66" t="s">
        <v>19</v>
      </c>
      <c r="D66" t="s">
        <v>28</v>
      </c>
      <c r="E66" t="s">
        <v>52</v>
      </c>
      <c r="F66" t="s">
        <v>59</v>
      </c>
      <c r="G66" t="s">
        <v>403</v>
      </c>
    </row>
    <row r="67" spans="1:7" x14ac:dyDescent="0.3">
      <c r="A67" s="16" t="s">
        <v>23</v>
      </c>
      <c r="B67" s="17">
        <v>30</v>
      </c>
      <c r="C67" s="17">
        <v>17</v>
      </c>
      <c r="D67" s="17">
        <v>40</v>
      </c>
      <c r="E67" s="17">
        <v>23</v>
      </c>
      <c r="F67" s="17">
        <v>28</v>
      </c>
      <c r="G67" s="17">
        <v>138</v>
      </c>
    </row>
    <row r="68" spans="1:7" x14ac:dyDescent="0.3">
      <c r="A68" s="16" t="s">
        <v>55</v>
      </c>
      <c r="B68" s="17"/>
      <c r="C68" s="17">
        <v>2</v>
      </c>
      <c r="D68" s="17">
        <v>1</v>
      </c>
      <c r="E68" s="17">
        <v>1</v>
      </c>
      <c r="F68" s="17"/>
      <c r="G68" s="17">
        <v>4</v>
      </c>
    </row>
    <row r="69" spans="1:7" x14ac:dyDescent="0.3">
      <c r="A69" s="16" t="s">
        <v>42</v>
      </c>
      <c r="B69" s="17">
        <v>1</v>
      </c>
      <c r="C69" s="17">
        <v>1</v>
      </c>
      <c r="D69" s="17">
        <v>2</v>
      </c>
      <c r="E69" s="17">
        <v>3</v>
      </c>
      <c r="F69" s="17">
        <v>1</v>
      </c>
      <c r="G69" s="17">
        <v>8</v>
      </c>
    </row>
    <row r="70" spans="1:7" x14ac:dyDescent="0.3">
      <c r="A70" s="16" t="s">
        <v>403</v>
      </c>
      <c r="B70" s="17">
        <v>31</v>
      </c>
      <c r="C70" s="17">
        <v>20</v>
      </c>
      <c r="D70" s="17">
        <v>43</v>
      </c>
      <c r="E70" s="17">
        <v>27</v>
      </c>
      <c r="F70" s="17">
        <v>29</v>
      </c>
      <c r="G70" s="17">
        <v>150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530B00-5023-4EB0-A195-034A734D3D86}">
  <dimension ref="A1"/>
  <sheetViews>
    <sheetView showGridLines="0" tabSelected="1" zoomScale="59" zoomScaleNormal="59" workbookViewId="0">
      <selection activeCell="AJ31" sqref="AJ31"/>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27AF47-A4F0-471C-AF26-35F4349F41B2}">
  <dimension ref="A1:S151"/>
  <sheetViews>
    <sheetView topLeftCell="H1" zoomScale="86" zoomScaleNormal="86" workbookViewId="0">
      <pane ySplit="1" topLeftCell="A2" activePane="bottomLeft" state="frozen"/>
      <selection pane="bottomLeft" activeCell="O18" sqref="O18"/>
    </sheetView>
  </sheetViews>
  <sheetFormatPr defaultRowHeight="14.4" x14ac:dyDescent="0.3"/>
  <cols>
    <col min="1" max="1" width="12" customWidth="1"/>
    <col min="2" max="2" width="21" style="9" customWidth="1"/>
    <col min="3" max="3" width="12" customWidth="1"/>
    <col min="4" max="4" width="21" customWidth="1"/>
    <col min="5" max="5" width="24" customWidth="1"/>
    <col min="6" max="6" width="18" bestFit="1" customWidth="1"/>
    <col min="7" max="7" width="18" style="12" customWidth="1"/>
    <col min="8" max="9" width="12" customWidth="1"/>
    <col min="10" max="10" width="12.21875" customWidth="1"/>
    <col min="11" max="11" width="19" customWidth="1"/>
    <col min="12" max="12" width="16.5546875" customWidth="1"/>
    <col min="13" max="13" width="20.44140625" bestFit="1" customWidth="1"/>
    <col min="14" max="14" width="24" customWidth="1"/>
    <col min="15" max="15" width="20" bestFit="1" customWidth="1"/>
    <col min="16" max="16" width="22.88671875" bestFit="1" customWidth="1"/>
    <col min="17" max="17" width="24.88671875" bestFit="1" customWidth="1"/>
    <col min="18" max="18" width="12.44140625" bestFit="1" customWidth="1"/>
    <col min="19" max="19" width="19.33203125" bestFit="1" customWidth="1"/>
  </cols>
  <sheetData>
    <row r="1" spans="1:19" x14ac:dyDescent="0.3">
      <c r="A1" s="13" t="s">
        <v>0</v>
      </c>
      <c r="B1" s="14" t="s">
        <v>1</v>
      </c>
      <c r="C1" s="13" t="s">
        <v>2</v>
      </c>
      <c r="D1" s="13" t="s">
        <v>3</v>
      </c>
      <c r="E1" s="13" t="s">
        <v>4</v>
      </c>
      <c r="F1" s="13" t="s">
        <v>5</v>
      </c>
      <c r="G1" s="13" t="s">
        <v>402</v>
      </c>
      <c r="H1" s="13" t="s">
        <v>6</v>
      </c>
      <c r="I1" s="13" t="s">
        <v>7</v>
      </c>
      <c r="J1" s="13" t="s">
        <v>8</v>
      </c>
      <c r="K1" s="13" t="s">
        <v>404</v>
      </c>
      <c r="L1" s="13" t="s">
        <v>10</v>
      </c>
      <c r="M1" s="13" t="s">
        <v>11</v>
      </c>
      <c r="N1" s="13" t="s">
        <v>12</v>
      </c>
      <c r="O1" s="13" t="s">
        <v>13</v>
      </c>
      <c r="P1" s="13" t="s">
        <v>14</v>
      </c>
      <c r="Q1" s="13" t="s">
        <v>15</v>
      </c>
      <c r="R1" s="13" t="s">
        <v>16</v>
      </c>
      <c r="S1" s="13" t="s">
        <v>17</v>
      </c>
    </row>
    <row r="2" spans="1:19" x14ac:dyDescent="0.3">
      <c r="A2" t="s">
        <v>18</v>
      </c>
      <c r="B2" s="9">
        <v>45852</v>
      </c>
      <c r="C2" t="s">
        <v>19</v>
      </c>
      <c r="D2" t="s">
        <v>20</v>
      </c>
      <c r="E2" t="s">
        <v>21</v>
      </c>
      <c r="F2">
        <v>31</v>
      </c>
      <c r="G2" s="12" t="str">
        <f>IF(F2&lt;25,"18-24",IF(F2&lt;30,"25-29",IF(F2&lt;35,"30-34",IF(F2&lt;40,"35-40",IF(F2&lt;45,"40-45","45+")))))</f>
        <v>30-34</v>
      </c>
      <c r="H2">
        <v>6</v>
      </c>
      <c r="I2">
        <v>2</v>
      </c>
      <c r="J2">
        <v>4</v>
      </c>
      <c r="K2" t="s">
        <v>22</v>
      </c>
      <c r="L2" t="s">
        <v>23</v>
      </c>
      <c r="M2">
        <v>3.46</v>
      </c>
      <c r="N2" t="s">
        <v>24</v>
      </c>
      <c r="O2" t="s">
        <v>25</v>
      </c>
      <c r="P2">
        <v>103075</v>
      </c>
      <c r="Q2">
        <v>1</v>
      </c>
      <c r="R2" t="s">
        <v>25</v>
      </c>
      <c r="S2" t="s">
        <v>26</v>
      </c>
    </row>
    <row r="3" spans="1:19" x14ac:dyDescent="0.3">
      <c r="A3" t="s">
        <v>27</v>
      </c>
      <c r="B3" s="9">
        <v>45959</v>
      </c>
      <c r="C3" t="s">
        <v>28</v>
      </c>
      <c r="D3" t="s">
        <v>29</v>
      </c>
      <c r="E3" t="s">
        <v>30</v>
      </c>
      <c r="F3">
        <v>27</v>
      </c>
      <c r="G3" s="12" t="str">
        <f t="shared" ref="G3:G66" si="0">IF(F3&lt;25,"18-24",IF(F3&lt;30,"25-29",IF(F3&lt;35,"30-34",IF(F3&lt;40,"35-40",IF(F3&lt;45,"40-45","45+")))))</f>
        <v>25-29</v>
      </c>
      <c r="H3">
        <v>1</v>
      </c>
      <c r="I3">
        <v>0</v>
      </c>
      <c r="J3">
        <v>8</v>
      </c>
      <c r="K3" t="s">
        <v>22</v>
      </c>
      <c r="L3" t="s">
        <v>23</v>
      </c>
      <c r="M3">
        <v>3.52</v>
      </c>
      <c r="N3" t="s">
        <v>24</v>
      </c>
      <c r="O3" t="s">
        <v>25</v>
      </c>
      <c r="P3">
        <v>53263</v>
      </c>
      <c r="Q3">
        <v>2</v>
      </c>
      <c r="R3" t="s">
        <v>25</v>
      </c>
      <c r="S3" t="s">
        <v>26</v>
      </c>
    </row>
    <row r="4" spans="1:19" x14ac:dyDescent="0.3">
      <c r="A4" t="s">
        <v>32</v>
      </c>
      <c r="B4" s="9">
        <v>46008</v>
      </c>
      <c r="C4" t="s">
        <v>28</v>
      </c>
      <c r="D4" t="s">
        <v>29</v>
      </c>
      <c r="E4" t="s">
        <v>33</v>
      </c>
      <c r="F4">
        <v>26</v>
      </c>
      <c r="G4" s="12" t="str">
        <f t="shared" si="0"/>
        <v>25-29</v>
      </c>
      <c r="H4">
        <v>2</v>
      </c>
      <c r="I4">
        <v>1</v>
      </c>
      <c r="J4">
        <v>4</v>
      </c>
      <c r="K4" t="s">
        <v>22</v>
      </c>
      <c r="L4" t="s">
        <v>23</v>
      </c>
      <c r="M4">
        <v>3.23</v>
      </c>
      <c r="N4" t="s">
        <v>24</v>
      </c>
      <c r="O4" t="s">
        <v>25</v>
      </c>
      <c r="P4">
        <v>17167</v>
      </c>
      <c r="Q4">
        <v>1</v>
      </c>
      <c r="R4" t="s">
        <v>25</v>
      </c>
      <c r="S4" t="s">
        <v>26</v>
      </c>
    </row>
    <row r="5" spans="1:19" x14ac:dyDescent="0.3">
      <c r="A5" t="s">
        <v>34</v>
      </c>
      <c r="B5" s="9">
        <v>45646</v>
      </c>
      <c r="C5" t="s">
        <v>35</v>
      </c>
      <c r="D5" t="s">
        <v>36</v>
      </c>
      <c r="E5" t="s">
        <v>37</v>
      </c>
      <c r="F5">
        <v>26</v>
      </c>
      <c r="G5" s="12" t="str">
        <f t="shared" si="0"/>
        <v>25-29</v>
      </c>
      <c r="H5">
        <v>2</v>
      </c>
      <c r="I5">
        <v>0</v>
      </c>
      <c r="J5">
        <v>2</v>
      </c>
      <c r="K5" t="s">
        <v>38</v>
      </c>
      <c r="L5" t="s">
        <v>23</v>
      </c>
      <c r="M5">
        <v>3.27</v>
      </c>
      <c r="N5" t="s">
        <v>24</v>
      </c>
      <c r="O5" t="s">
        <v>25</v>
      </c>
      <c r="P5">
        <v>122299</v>
      </c>
      <c r="Q5">
        <v>1</v>
      </c>
      <c r="R5" t="s">
        <v>26</v>
      </c>
      <c r="S5" t="s">
        <v>26</v>
      </c>
    </row>
    <row r="6" spans="1:19" x14ac:dyDescent="0.3">
      <c r="A6" t="s">
        <v>39</v>
      </c>
      <c r="B6" s="9">
        <v>45937</v>
      </c>
      <c r="C6" t="s">
        <v>35</v>
      </c>
      <c r="D6" t="s">
        <v>40</v>
      </c>
      <c r="E6" t="s">
        <v>37</v>
      </c>
      <c r="F6">
        <v>36</v>
      </c>
      <c r="G6" s="12" t="str">
        <f t="shared" si="0"/>
        <v>35-40</v>
      </c>
      <c r="H6">
        <v>6</v>
      </c>
      <c r="I6">
        <v>3</v>
      </c>
      <c r="J6">
        <v>4</v>
      </c>
      <c r="K6" t="s">
        <v>22</v>
      </c>
      <c r="L6" t="s">
        <v>42</v>
      </c>
      <c r="M6">
        <v>3.14</v>
      </c>
      <c r="N6" t="s">
        <v>94</v>
      </c>
      <c r="O6" t="s">
        <v>25</v>
      </c>
      <c r="P6">
        <v>29381</v>
      </c>
      <c r="Q6">
        <v>1</v>
      </c>
      <c r="R6" t="s">
        <v>25</v>
      </c>
      <c r="S6" t="s">
        <v>26</v>
      </c>
    </row>
    <row r="7" spans="1:19" x14ac:dyDescent="0.3">
      <c r="A7" t="s">
        <v>44</v>
      </c>
      <c r="B7" s="9">
        <v>45532</v>
      </c>
      <c r="C7" t="s">
        <v>35</v>
      </c>
      <c r="D7" t="s">
        <v>45</v>
      </c>
      <c r="E7" t="s">
        <v>21</v>
      </c>
      <c r="F7">
        <v>29</v>
      </c>
      <c r="G7" s="12" t="str">
        <f t="shared" si="0"/>
        <v>25-29</v>
      </c>
      <c r="H7">
        <v>6</v>
      </c>
      <c r="I7">
        <v>0</v>
      </c>
      <c r="J7">
        <v>2</v>
      </c>
      <c r="K7" t="s">
        <v>22</v>
      </c>
      <c r="L7" t="s">
        <v>23</v>
      </c>
      <c r="M7">
        <v>3.31</v>
      </c>
      <c r="N7" t="s">
        <v>24</v>
      </c>
      <c r="O7" t="s">
        <v>25</v>
      </c>
      <c r="P7">
        <v>49984</v>
      </c>
      <c r="Q7">
        <v>1</v>
      </c>
      <c r="R7" t="s">
        <v>25</v>
      </c>
      <c r="S7" t="s">
        <v>26</v>
      </c>
    </row>
    <row r="8" spans="1:19" x14ac:dyDescent="0.3">
      <c r="A8" t="s">
        <v>47</v>
      </c>
      <c r="B8" s="9">
        <v>45367</v>
      </c>
      <c r="C8" t="s">
        <v>59</v>
      </c>
      <c r="D8" t="s">
        <v>49</v>
      </c>
      <c r="E8" t="s">
        <v>37</v>
      </c>
      <c r="F8">
        <v>25</v>
      </c>
      <c r="G8" s="12" t="str">
        <f t="shared" si="0"/>
        <v>25-29</v>
      </c>
      <c r="H8">
        <v>4</v>
      </c>
      <c r="I8">
        <v>2</v>
      </c>
      <c r="J8">
        <v>8</v>
      </c>
      <c r="K8" t="s">
        <v>22</v>
      </c>
      <c r="L8" t="s">
        <v>23</v>
      </c>
      <c r="M8">
        <v>3.09</v>
      </c>
      <c r="N8" t="s">
        <v>50</v>
      </c>
      <c r="O8" t="s">
        <v>25</v>
      </c>
      <c r="P8">
        <v>38557</v>
      </c>
      <c r="Q8">
        <v>3</v>
      </c>
      <c r="R8" t="s">
        <v>25</v>
      </c>
      <c r="S8" t="s">
        <v>26</v>
      </c>
    </row>
    <row r="9" spans="1:19" x14ac:dyDescent="0.3">
      <c r="A9" t="s">
        <v>51</v>
      </c>
      <c r="B9" s="9">
        <v>45351</v>
      </c>
      <c r="C9" t="s">
        <v>52</v>
      </c>
      <c r="D9" t="s">
        <v>111</v>
      </c>
      <c r="E9" t="s">
        <v>54</v>
      </c>
      <c r="F9">
        <v>22</v>
      </c>
      <c r="G9" s="12" t="str">
        <f t="shared" si="0"/>
        <v>18-24</v>
      </c>
      <c r="H9">
        <v>2</v>
      </c>
      <c r="I9">
        <v>1</v>
      </c>
      <c r="J9">
        <v>5</v>
      </c>
      <c r="K9" t="s">
        <v>22</v>
      </c>
      <c r="L9" t="s">
        <v>55</v>
      </c>
      <c r="M9">
        <v>2.02</v>
      </c>
      <c r="N9" t="s">
        <v>50</v>
      </c>
      <c r="O9" t="s">
        <v>25</v>
      </c>
      <c r="P9">
        <v>31795</v>
      </c>
      <c r="Q9">
        <v>2</v>
      </c>
      <c r="R9" t="s">
        <v>25</v>
      </c>
      <c r="S9" t="s">
        <v>26</v>
      </c>
    </row>
    <row r="10" spans="1:19" x14ac:dyDescent="0.3">
      <c r="A10" t="s">
        <v>56</v>
      </c>
      <c r="B10" s="9">
        <v>45511</v>
      </c>
      <c r="C10" t="s">
        <v>19</v>
      </c>
      <c r="D10" t="s">
        <v>57</v>
      </c>
      <c r="E10" t="s">
        <v>30</v>
      </c>
      <c r="F10">
        <v>32</v>
      </c>
      <c r="G10" s="12" t="str">
        <f t="shared" si="0"/>
        <v>30-34</v>
      </c>
      <c r="H10">
        <v>4</v>
      </c>
      <c r="I10">
        <v>2</v>
      </c>
      <c r="J10">
        <v>5</v>
      </c>
      <c r="K10" t="s">
        <v>22</v>
      </c>
      <c r="L10" t="s">
        <v>23</v>
      </c>
      <c r="M10">
        <v>3.04</v>
      </c>
      <c r="N10" t="s">
        <v>24</v>
      </c>
      <c r="O10" t="s">
        <v>25</v>
      </c>
      <c r="P10">
        <v>57472</v>
      </c>
      <c r="Q10">
        <v>1</v>
      </c>
      <c r="R10" t="s">
        <v>25</v>
      </c>
      <c r="S10" t="s">
        <v>26</v>
      </c>
    </row>
    <row r="11" spans="1:19" x14ac:dyDescent="0.3">
      <c r="A11" t="s">
        <v>58</v>
      </c>
      <c r="B11" s="9">
        <v>45892</v>
      </c>
      <c r="C11" t="s">
        <v>59</v>
      </c>
      <c r="D11" t="s">
        <v>60</v>
      </c>
      <c r="E11" t="s">
        <v>33</v>
      </c>
      <c r="F11">
        <v>25</v>
      </c>
      <c r="G11" s="12" t="str">
        <f t="shared" si="0"/>
        <v>25-29</v>
      </c>
      <c r="H11">
        <v>6</v>
      </c>
      <c r="I11">
        <v>3</v>
      </c>
      <c r="J11">
        <v>4</v>
      </c>
      <c r="K11" t="s">
        <v>38</v>
      </c>
      <c r="L11" t="s">
        <v>23</v>
      </c>
      <c r="M11">
        <v>3.68</v>
      </c>
      <c r="N11" t="s">
        <v>24</v>
      </c>
      <c r="O11" t="s">
        <v>25</v>
      </c>
      <c r="P11">
        <v>73590</v>
      </c>
      <c r="Q11">
        <v>1</v>
      </c>
      <c r="R11" t="s">
        <v>25</v>
      </c>
      <c r="S11" t="s">
        <v>26</v>
      </c>
    </row>
    <row r="12" spans="1:19" x14ac:dyDescent="0.3">
      <c r="A12" t="s">
        <v>62</v>
      </c>
      <c r="B12" s="9">
        <v>45406</v>
      </c>
      <c r="C12" t="s">
        <v>28</v>
      </c>
      <c r="D12" t="s">
        <v>29</v>
      </c>
      <c r="E12" t="s">
        <v>21</v>
      </c>
      <c r="F12">
        <v>30</v>
      </c>
      <c r="G12" s="12" t="str">
        <f t="shared" si="0"/>
        <v>30-34</v>
      </c>
      <c r="H12">
        <v>3</v>
      </c>
      <c r="I12">
        <v>1</v>
      </c>
      <c r="J12">
        <v>4</v>
      </c>
      <c r="K12" t="s">
        <v>38</v>
      </c>
      <c r="L12" t="s">
        <v>23</v>
      </c>
      <c r="M12">
        <v>2.73</v>
      </c>
      <c r="N12" t="s">
        <v>24</v>
      </c>
      <c r="O12" t="s">
        <v>25</v>
      </c>
      <c r="P12">
        <v>160291</v>
      </c>
      <c r="Q12">
        <v>5</v>
      </c>
      <c r="R12" t="s">
        <v>25</v>
      </c>
      <c r="S12" t="s">
        <v>26</v>
      </c>
    </row>
    <row r="13" spans="1:19" x14ac:dyDescent="0.3">
      <c r="A13" t="s">
        <v>63</v>
      </c>
      <c r="B13" s="9">
        <v>45860</v>
      </c>
      <c r="C13" t="s">
        <v>52</v>
      </c>
      <c r="D13" t="s">
        <v>64</v>
      </c>
      <c r="E13" t="s">
        <v>21</v>
      </c>
      <c r="F13">
        <v>16</v>
      </c>
      <c r="G13" s="12" t="str">
        <f t="shared" si="0"/>
        <v>18-24</v>
      </c>
      <c r="H13">
        <v>5</v>
      </c>
      <c r="I13">
        <v>0</v>
      </c>
      <c r="K13" t="s">
        <v>22</v>
      </c>
      <c r="L13" t="s">
        <v>23</v>
      </c>
      <c r="M13">
        <v>2.93</v>
      </c>
      <c r="N13" t="s">
        <v>24</v>
      </c>
      <c r="O13" t="s">
        <v>25</v>
      </c>
      <c r="P13">
        <v>55789</v>
      </c>
      <c r="Q13">
        <v>3</v>
      </c>
      <c r="R13" t="s">
        <v>65</v>
      </c>
      <c r="S13" t="s">
        <v>26</v>
      </c>
    </row>
    <row r="14" spans="1:19" x14ac:dyDescent="0.3">
      <c r="A14" t="s">
        <v>66</v>
      </c>
      <c r="B14" s="9">
        <v>45563</v>
      </c>
      <c r="C14" t="s">
        <v>19</v>
      </c>
      <c r="D14" t="s">
        <v>57</v>
      </c>
      <c r="E14" t="s">
        <v>37</v>
      </c>
      <c r="F14">
        <v>26</v>
      </c>
      <c r="G14" s="12" t="str">
        <f t="shared" si="0"/>
        <v>25-29</v>
      </c>
      <c r="H14">
        <v>7</v>
      </c>
      <c r="I14">
        <v>5</v>
      </c>
      <c r="J14">
        <v>4</v>
      </c>
      <c r="K14" t="s">
        <v>22</v>
      </c>
      <c r="L14" t="s">
        <v>23</v>
      </c>
      <c r="M14">
        <v>2.4900000000000002</v>
      </c>
      <c r="N14" t="s">
        <v>24</v>
      </c>
      <c r="O14" t="s">
        <v>25</v>
      </c>
      <c r="P14">
        <v>35094</v>
      </c>
      <c r="Q14">
        <v>3</v>
      </c>
      <c r="R14" t="s">
        <v>26</v>
      </c>
      <c r="S14" t="s">
        <v>26</v>
      </c>
    </row>
    <row r="15" spans="1:19" x14ac:dyDescent="0.3">
      <c r="A15" t="s">
        <v>67</v>
      </c>
      <c r="B15" s="9">
        <v>45459</v>
      </c>
      <c r="C15" t="s">
        <v>52</v>
      </c>
      <c r="D15" t="s">
        <v>129</v>
      </c>
      <c r="E15" t="s">
        <v>37</v>
      </c>
      <c r="F15">
        <v>35</v>
      </c>
      <c r="G15" s="12" t="str">
        <f t="shared" si="0"/>
        <v>35-40</v>
      </c>
      <c r="H15">
        <v>7</v>
      </c>
      <c r="I15">
        <v>5</v>
      </c>
      <c r="J15">
        <v>4</v>
      </c>
      <c r="K15" t="s">
        <v>22</v>
      </c>
      <c r="L15" t="s">
        <v>23</v>
      </c>
      <c r="M15">
        <v>3.65</v>
      </c>
      <c r="N15" t="s">
        <v>24</v>
      </c>
      <c r="O15" t="s">
        <v>25</v>
      </c>
      <c r="P15">
        <v>74040</v>
      </c>
      <c r="Q15">
        <v>1</v>
      </c>
      <c r="R15" t="s">
        <v>26</v>
      </c>
      <c r="S15" t="s">
        <v>26</v>
      </c>
    </row>
    <row r="16" spans="1:19" x14ac:dyDescent="0.3">
      <c r="A16" t="s">
        <v>69</v>
      </c>
      <c r="B16" s="9">
        <v>45608</v>
      </c>
      <c r="C16" t="s">
        <v>28</v>
      </c>
      <c r="D16" t="s">
        <v>70</v>
      </c>
      <c r="E16" t="s">
        <v>54</v>
      </c>
      <c r="F16">
        <v>30</v>
      </c>
      <c r="G16" s="12" t="str">
        <f t="shared" si="0"/>
        <v>30-34</v>
      </c>
      <c r="H16">
        <v>5</v>
      </c>
      <c r="I16">
        <v>2</v>
      </c>
      <c r="J16">
        <v>8</v>
      </c>
      <c r="K16" t="s">
        <v>22</v>
      </c>
      <c r="L16" t="s">
        <v>23</v>
      </c>
      <c r="M16">
        <v>3.08</v>
      </c>
      <c r="N16" t="s">
        <v>24</v>
      </c>
      <c r="O16" t="s">
        <v>25</v>
      </c>
      <c r="P16">
        <v>104116</v>
      </c>
      <c r="Q16">
        <v>1</v>
      </c>
      <c r="R16" t="s">
        <v>25</v>
      </c>
      <c r="S16" t="s">
        <v>26</v>
      </c>
    </row>
    <row r="17" spans="1:19" x14ac:dyDescent="0.3">
      <c r="A17" t="s">
        <v>71</v>
      </c>
      <c r="B17" s="9">
        <v>45422</v>
      </c>
      <c r="C17" t="s">
        <v>19</v>
      </c>
      <c r="D17" t="s">
        <v>72</v>
      </c>
      <c r="E17" t="s">
        <v>54</v>
      </c>
      <c r="F17">
        <v>33</v>
      </c>
      <c r="G17" s="12" t="str">
        <f t="shared" si="0"/>
        <v>30-34</v>
      </c>
      <c r="H17">
        <v>5</v>
      </c>
      <c r="I17">
        <v>0</v>
      </c>
      <c r="J17">
        <v>5</v>
      </c>
      <c r="K17" t="s">
        <v>22</v>
      </c>
      <c r="L17" t="s">
        <v>23</v>
      </c>
      <c r="M17">
        <v>2.94</v>
      </c>
      <c r="N17" t="s">
        <v>24</v>
      </c>
      <c r="O17" t="s">
        <v>25</v>
      </c>
      <c r="P17">
        <v>67294</v>
      </c>
      <c r="Q17">
        <v>1</v>
      </c>
      <c r="R17" t="s">
        <v>25</v>
      </c>
      <c r="S17" t="s">
        <v>26</v>
      </c>
    </row>
    <row r="18" spans="1:19" x14ac:dyDescent="0.3">
      <c r="A18" t="s">
        <v>73</v>
      </c>
      <c r="B18" s="9">
        <v>46024</v>
      </c>
      <c r="C18" t="s">
        <v>59</v>
      </c>
      <c r="D18" t="s">
        <v>74</v>
      </c>
      <c r="E18" t="s">
        <v>75</v>
      </c>
      <c r="F18">
        <v>27</v>
      </c>
      <c r="G18" s="12" t="str">
        <f t="shared" si="0"/>
        <v>25-29</v>
      </c>
      <c r="H18">
        <v>3</v>
      </c>
      <c r="I18">
        <v>3</v>
      </c>
      <c r="J18">
        <v>5</v>
      </c>
      <c r="K18" t="s">
        <v>38</v>
      </c>
      <c r="L18" t="s">
        <v>23</v>
      </c>
      <c r="M18">
        <v>3.91</v>
      </c>
      <c r="N18" t="s">
        <v>24</v>
      </c>
      <c r="O18" t="s">
        <v>25</v>
      </c>
      <c r="P18">
        <v>132043</v>
      </c>
      <c r="Q18">
        <v>2</v>
      </c>
      <c r="R18" t="s">
        <v>25</v>
      </c>
      <c r="S18" t="s">
        <v>26</v>
      </c>
    </row>
    <row r="19" spans="1:19" x14ac:dyDescent="0.3">
      <c r="A19" t="s">
        <v>76</v>
      </c>
      <c r="B19" s="9">
        <v>45861</v>
      </c>
      <c r="C19" t="s">
        <v>59</v>
      </c>
      <c r="D19" t="s">
        <v>49</v>
      </c>
      <c r="E19" t="s">
        <v>54</v>
      </c>
      <c r="F19">
        <v>26</v>
      </c>
      <c r="G19" s="12" t="str">
        <f t="shared" si="0"/>
        <v>25-29</v>
      </c>
      <c r="H19">
        <v>4</v>
      </c>
      <c r="I19">
        <v>4</v>
      </c>
      <c r="J19">
        <v>6</v>
      </c>
      <c r="K19" t="s">
        <v>22</v>
      </c>
      <c r="L19" t="s">
        <v>23</v>
      </c>
      <c r="M19">
        <v>3.28</v>
      </c>
      <c r="N19" t="s">
        <v>24</v>
      </c>
      <c r="O19" t="s">
        <v>25</v>
      </c>
      <c r="P19">
        <v>51755</v>
      </c>
      <c r="Q19">
        <v>2</v>
      </c>
      <c r="R19" t="s">
        <v>26</v>
      </c>
      <c r="S19" t="s">
        <v>26</v>
      </c>
    </row>
    <row r="20" spans="1:19" x14ac:dyDescent="0.3">
      <c r="A20" t="s">
        <v>77</v>
      </c>
      <c r="B20" s="9">
        <v>45632</v>
      </c>
      <c r="C20" t="s">
        <v>28</v>
      </c>
      <c r="D20" t="s">
        <v>78</v>
      </c>
      <c r="E20" t="s">
        <v>21</v>
      </c>
      <c r="F20">
        <v>29</v>
      </c>
      <c r="G20" s="12" t="str">
        <f t="shared" si="0"/>
        <v>25-29</v>
      </c>
      <c r="H20">
        <v>1</v>
      </c>
      <c r="I20">
        <v>0</v>
      </c>
      <c r="J20">
        <v>6</v>
      </c>
      <c r="K20" t="s">
        <v>38</v>
      </c>
      <c r="L20" t="s">
        <v>23</v>
      </c>
      <c r="M20">
        <v>2.71</v>
      </c>
      <c r="N20" t="s">
        <v>24</v>
      </c>
      <c r="O20" t="s">
        <v>25</v>
      </c>
      <c r="P20">
        <v>136808</v>
      </c>
      <c r="Q20">
        <v>3</v>
      </c>
      <c r="R20" t="s">
        <v>26</v>
      </c>
      <c r="S20" t="s">
        <v>26</v>
      </c>
    </row>
    <row r="21" spans="1:19" x14ac:dyDescent="0.3">
      <c r="A21" t="s">
        <v>79</v>
      </c>
      <c r="B21" s="9">
        <v>45778</v>
      </c>
      <c r="C21" t="s">
        <v>28</v>
      </c>
      <c r="D21" t="s">
        <v>78</v>
      </c>
      <c r="E21" t="s">
        <v>54</v>
      </c>
      <c r="F21">
        <v>21</v>
      </c>
      <c r="G21" s="12" t="str">
        <f t="shared" si="0"/>
        <v>18-24</v>
      </c>
      <c r="H21">
        <v>3</v>
      </c>
      <c r="I21">
        <v>3</v>
      </c>
      <c r="J21">
        <v>5</v>
      </c>
      <c r="K21" t="s">
        <v>22</v>
      </c>
      <c r="L21" t="s">
        <v>23</v>
      </c>
      <c r="M21">
        <v>3.24</v>
      </c>
      <c r="N21" t="s">
        <v>80</v>
      </c>
      <c r="O21" t="s">
        <v>25</v>
      </c>
      <c r="P21">
        <v>65127</v>
      </c>
      <c r="Q21">
        <v>1</v>
      </c>
      <c r="R21" t="s">
        <v>25</v>
      </c>
      <c r="S21" t="s">
        <v>26</v>
      </c>
    </row>
    <row r="22" spans="1:19" x14ac:dyDescent="0.3">
      <c r="A22" t="s">
        <v>81</v>
      </c>
      <c r="B22" s="9">
        <v>45349</v>
      </c>
      <c r="C22" t="s">
        <v>59</v>
      </c>
      <c r="D22" t="s">
        <v>60</v>
      </c>
      <c r="E22" t="s">
        <v>30</v>
      </c>
      <c r="F22">
        <v>21</v>
      </c>
      <c r="G22" s="12" t="str">
        <f t="shared" si="0"/>
        <v>18-24</v>
      </c>
      <c r="H22">
        <v>2</v>
      </c>
      <c r="I22">
        <v>0</v>
      </c>
      <c r="J22">
        <v>4</v>
      </c>
      <c r="K22" t="s">
        <v>22</v>
      </c>
      <c r="L22" t="s">
        <v>23</v>
      </c>
      <c r="M22">
        <v>2.91</v>
      </c>
      <c r="N22" t="s">
        <v>24</v>
      </c>
      <c r="O22" t="s">
        <v>25</v>
      </c>
      <c r="P22">
        <v>44943</v>
      </c>
      <c r="Q22">
        <v>1</v>
      </c>
      <c r="R22" t="s">
        <v>25</v>
      </c>
      <c r="S22" t="s">
        <v>26</v>
      </c>
    </row>
    <row r="23" spans="1:19" x14ac:dyDescent="0.3">
      <c r="A23" t="s">
        <v>84</v>
      </c>
      <c r="B23" s="9">
        <v>45437</v>
      </c>
      <c r="C23" t="s">
        <v>19</v>
      </c>
      <c r="D23" t="s">
        <v>20</v>
      </c>
      <c r="E23" t="s">
        <v>33</v>
      </c>
      <c r="F23">
        <v>31</v>
      </c>
      <c r="G23" s="12" t="str">
        <f t="shared" si="0"/>
        <v>30-34</v>
      </c>
      <c r="H23">
        <v>4</v>
      </c>
      <c r="I23">
        <v>2</v>
      </c>
      <c r="J23">
        <v>8</v>
      </c>
      <c r="K23" t="s">
        <v>38</v>
      </c>
      <c r="L23" t="s">
        <v>23</v>
      </c>
      <c r="M23">
        <v>3.2</v>
      </c>
      <c r="N23" t="s">
        <v>24</v>
      </c>
      <c r="O23" t="s">
        <v>25</v>
      </c>
      <c r="P23">
        <v>151438</v>
      </c>
      <c r="Q23">
        <v>3</v>
      </c>
      <c r="R23" t="s">
        <v>25</v>
      </c>
      <c r="S23" t="s">
        <v>26</v>
      </c>
    </row>
    <row r="24" spans="1:19" x14ac:dyDescent="0.3">
      <c r="A24" t="s">
        <v>86</v>
      </c>
      <c r="B24" s="9">
        <v>45961</v>
      </c>
      <c r="C24" t="s">
        <v>52</v>
      </c>
      <c r="D24" t="s">
        <v>87</v>
      </c>
      <c r="E24" t="s">
        <v>37</v>
      </c>
      <c r="F24">
        <v>19</v>
      </c>
      <c r="G24" s="12" t="str">
        <f t="shared" si="0"/>
        <v>18-24</v>
      </c>
      <c r="H24">
        <v>4</v>
      </c>
      <c r="I24">
        <v>1</v>
      </c>
      <c r="J24">
        <v>4</v>
      </c>
      <c r="K24" t="s">
        <v>38</v>
      </c>
      <c r="L24" t="s">
        <v>23</v>
      </c>
      <c r="M24">
        <v>3.13</v>
      </c>
      <c r="N24" t="s">
        <v>88</v>
      </c>
      <c r="O24" t="s">
        <v>25</v>
      </c>
      <c r="P24">
        <v>206581</v>
      </c>
      <c r="Q24">
        <v>3</v>
      </c>
      <c r="R24" t="s">
        <v>26</v>
      </c>
      <c r="S24" t="s">
        <v>26</v>
      </c>
    </row>
    <row r="25" spans="1:19" x14ac:dyDescent="0.3">
      <c r="A25" t="s">
        <v>89</v>
      </c>
      <c r="B25" s="9">
        <v>45354</v>
      </c>
      <c r="C25" t="s">
        <v>19</v>
      </c>
      <c r="D25" t="s">
        <v>20</v>
      </c>
      <c r="E25" t="s">
        <v>54</v>
      </c>
      <c r="F25">
        <v>30</v>
      </c>
      <c r="G25" s="12" t="str">
        <f t="shared" si="0"/>
        <v>30-34</v>
      </c>
      <c r="H25">
        <v>7</v>
      </c>
      <c r="I25">
        <v>1</v>
      </c>
      <c r="J25">
        <v>4</v>
      </c>
      <c r="K25" t="s">
        <v>22</v>
      </c>
      <c r="L25" t="s">
        <v>23</v>
      </c>
      <c r="M25">
        <v>2.46</v>
      </c>
      <c r="N25" t="s">
        <v>24</v>
      </c>
      <c r="O25" t="s">
        <v>25</v>
      </c>
      <c r="P25">
        <v>93570</v>
      </c>
      <c r="Q25">
        <v>3</v>
      </c>
      <c r="R25" t="s">
        <v>25</v>
      </c>
      <c r="S25" t="s">
        <v>26</v>
      </c>
    </row>
    <row r="26" spans="1:19" x14ac:dyDescent="0.3">
      <c r="A26" t="s">
        <v>90</v>
      </c>
      <c r="B26" s="9">
        <v>45863</v>
      </c>
      <c r="C26" t="s">
        <v>59</v>
      </c>
      <c r="D26" t="s">
        <v>91</v>
      </c>
      <c r="E26" t="s">
        <v>30</v>
      </c>
      <c r="F26">
        <v>32</v>
      </c>
      <c r="G26" s="12" t="str">
        <f t="shared" si="0"/>
        <v>30-34</v>
      </c>
      <c r="H26">
        <v>4</v>
      </c>
      <c r="I26">
        <v>2</v>
      </c>
      <c r="J26">
        <v>3</v>
      </c>
      <c r="K26" t="s">
        <v>38</v>
      </c>
      <c r="L26" t="s">
        <v>23</v>
      </c>
      <c r="M26">
        <v>3.87</v>
      </c>
      <c r="N26" t="s">
        <v>24</v>
      </c>
      <c r="O26" t="s">
        <v>25</v>
      </c>
      <c r="P26">
        <v>109953</v>
      </c>
      <c r="Q26">
        <v>4</v>
      </c>
      <c r="R26" t="s">
        <v>25</v>
      </c>
      <c r="S26" t="s">
        <v>26</v>
      </c>
    </row>
    <row r="27" spans="1:19" x14ac:dyDescent="0.3">
      <c r="A27" t="s">
        <v>92</v>
      </c>
      <c r="B27" s="9">
        <v>45615</v>
      </c>
      <c r="C27" t="s">
        <v>59</v>
      </c>
      <c r="D27" t="s">
        <v>74</v>
      </c>
      <c r="E27" t="s">
        <v>21</v>
      </c>
      <c r="F27">
        <v>39</v>
      </c>
      <c r="G27" s="12" t="str">
        <f t="shared" si="0"/>
        <v>35-40</v>
      </c>
      <c r="H27">
        <v>2</v>
      </c>
      <c r="I27">
        <v>1</v>
      </c>
      <c r="J27">
        <v>3</v>
      </c>
      <c r="K27" t="s">
        <v>22</v>
      </c>
      <c r="L27" t="s">
        <v>23</v>
      </c>
      <c r="M27">
        <v>2.79</v>
      </c>
      <c r="N27" t="s">
        <v>94</v>
      </c>
      <c r="O27" t="s">
        <v>25</v>
      </c>
      <c r="P27">
        <v>67491</v>
      </c>
      <c r="Q27">
        <v>1</v>
      </c>
      <c r="R27" t="s">
        <v>26</v>
      </c>
      <c r="S27" t="s">
        <v>26</v>
      </c>
    </row>
    <row r="28" spans="1:19" x14ac:dyDescent="0.3">
      <c r="A28" t="s">
        <v>95</v>
      </c>
      <c r="B28" s="9">
        <v>45903</v>
      </c>
      <c r="C28" t="s">
        <v>19</v>
      </c>
      <c r="D28" t="s">
        <v>96</v>
      </c>
      <c r="E28" t="s">
        <v>21</v>
      </c>
      <c r="F28">
        <v>34</v>
      </c>
      <c r="G28" s="12" t="str">
        <f t="shared" si="0"/>
        <v>30-34</v>
      </c>
      <c r="H28">
        <v>5</v>
      </c>
      <c r="I28">
        <v>4</v>
      </c>
      <c r="J28">
        <v>5</v>
      </c>
      <c r="K28" t="s">
        <v>22</v>
      </c>
      <c r="L28" t="s">
        <v>42</v>
      </c>
      <c r="M28">
        <v>2.52</v>
      </c>
      <c r="N28" t="s">
        <v>24</v>
      </c>
      <c r="O28" t="s">
        <v>25</v>
      </c>
      <c r="P28">
        <v>76839</v>
      </c>
      <c r="Q28">
        <v>1</v>
      </c>
      <c r="R28" t="s">
        <v>25</v>
      </c>
      <c r="S28" t="s">
        <v>26</v>
      </c>
    </row>
    <row r="29" spans="1:19" x14ac:dyDescent="0.3">
      <c r="A29" t="s">
        <v>97</v>
      </c>
      <c r="B29" s="9">
        <v>45872</v>
      </c>
      <c r="C29" t="s">
        <v>52</v>
      </c>
      <c r="D29" t="s">
        <v>64</v>
      </c>
      <c r="E29" t="s">
        <v>37</v>
      </c>
      <c r="F29">
        <v>36</v>
      </c>
      <c r="G29" s="12" t="str">
        <f t="shared" si="0"/>
        <v>35-40</v>
      </c>
      <c r="H29">
        <v>1</v>
      </c>
      <c r="I29">
        <v>0</v>
      </c>
      <c r="J29">
        <v>3</v>
      </c>
      <c r="K29" t="s">
        <v>22</v>
      </c>
      <c r="L29" t="s">
        <v>23</v>
      </c>
      <c r="M29">
        <v>2.92</v>
      </c>
      <c r="N29" t="s">
        <v>24</v>
      </c>
      <c r="O29" t="s">
        <v>25</v>
      </c>
      <c r="P29">
        <v>85337</v>
      </c>
      <c r="Q29">
        <v>1</v>
      </c>
      <c r="R29" t="s">
        <v>25</v>
      </c>
      <c r="S29" t="s">
        <v>26</v>
      </c>
    </row>
    <row r="30" spans="1:19" x14ac:dyDescent="0.3">
      <c r="A30" t="s">
        <v>98</v>
      </c>
      <c r="B30" s="9">
        <v>45601</v>
      </c>
      <c r="C30" t="s">
        <v>35</v>
      </c>
      <c r="D30" t="s">
        <v>36</v>
      </c>
      <c r="E30" t="s">
        <v>33</v>
      </c>
      <c r="F30">
        <v>30</v>
      </c>
      <c r="G30" s="12" t="str">
        <f t="shared" si="0"/>
        <v>30-34</v>
      </c>
      <c r="H30">
        <v>2</v>
      </c>
      <c r="I30">
        <v>2</v>
      </c>
      <c r="J30">
        <v>7</v>
      </c>
      <c r="K30" t="s">
        <v>38</v>
      </c>
      <c r="L30" t="s">
        <v>23</v>
      </c>
      <c r="M30">
        <v>2.2200000000000002</v>
      </c>
      <c r="N30" t="s">
        <v>99</v>
      </c>
      <c r="O30" t="s">
        <v>25</v>
      </c>
      <c r="P30">
        <v>149615</v>
      </c>
      <c r="Q30">
        <v>4</v>
      </c>
      <c r="R30" t="s">
        <v>25</v>
      </c>
      <c r="S30" t="s">
        <v>26</v>
      </c>
    </row>
    <row r="31" spans="1:19" x14ac:dyDescent="0.3">
      <c r="A31" t="s">
        <v>100</v>
      </c>
      <c r="B31" s="9">
        <v>45812</v>
      </c>
      <c r="C31" t="s">
        <v>35</v>
      </c>
      <c r="D31" t="s">
        <v>40</v>
      </c>
      <c r="E31" t="s">
        <v>75</v>
      </c>
      <c r="F31">
        <v>32</v>
      </c>
      <c r="G31" s="12" t="str">
        <f t="shared" si="0"/>
        <v>30-34</v>
      </c>
      <c r="H31">
        <v>1</v>
      </c>
      <c r="I31">
        <v>1</v>
      </c>
      <c r="J31">
        <v>2</v>
      </c>
      <c r="K31" t="s">
        <v>22</v>
      </c>
      <c r="L31" t="s">
        <v>23</v>
      </c>
      <c r="M31">
        <v>2.37</v>
      </c>
      <c r="N31" t="s">
        <v>24</v>
      </c>
      <c r="O31" t="s">
        <v>25</v>
      </c>
      <c r="P31">
        <v>78048</v>
      </c>
      <c r="Q31">
        <v>2</v>
      </c>
      <c r="R31" t="s">
        <v>25</v>
      </c>
      <c r="S31" t="s">
        <v>26</v>
      </c>
    </row>
    <row r="32" spans="1:19" x14ac:dyDescent="0.3">
      <c r="A32" t="s">
        <v>101</v>
      </c>
      <c r="B32" s="9">
        <v>45920</v>
      </c>
      <c r="C32" t="s">
        <v>52</v>
      </c>
      <c r="D32" t="s">
        <v>87</v>
      </c>
      <c r="E32" t="s">
        <v>30</v>
      </c>
      <c r="F32">
        <v>30</v>
      </c>
      <c r="G32" s="12" t="str">
        <f t="shared" si="0"/>
        <v>30-34</v>
      </c>
      <c r="H32">
        <v>1</v>
      </c>
      <c r="I32">
        <v>0</v>
      </c>
      <c r="J32">
        <v>5</v>
      </c>
      <c r="K32" t="s">
        <v>22</v>
      </c>
      <c r="L32" t="s">
        <v>23</v>
      </c>
      <c r="M32">
        <v>2.73</v>
      </c>
      <c r="N32" t="s">
        <v>102</v>
      </c>
      <c r="O32" t="s">
        <v>25</v>
      </c>
      <c r="P32">
        <v>70806</v>
      </c>
      <c r="Q32">
        <v>2</v>
      </c>
      <c r="R32" t="s">
        <v>25</v>
      </c>
      <c r="S32" t="s">
        <v>26</v>
      </c>
    </row>
    <row r="33" spans="1:19" x14ac:dyDescent="0.3">
      <c r="A33" t="s">
        <v>103</v>
      </c>
      <c r="B33" s="9">
        <v>45412</v>
      </c>
      <c r="C33" t="s">
        <v>28</v>
      </c>
      <c r="D33" t="s">
        <v>70</v>
      </c>
      <c r="E33" t="s">
        <v>21</v>
      </c>
      <c r="F33">
        <v>25</v>
      </c>
      <c r="G33" s="12" t="str">
        <f t="shared" si="0"/>
        <v>25-29</v>
      </c>
      <c r="H33">
        <v>6</v>
      </c>
      <c r="I33">
        <v>4</v>
      </c>
      <c r="J33">
        <v>8</v>
      </c>
      <c r="K33" t="s">
        <v>22</v>
      </c>
      <c r="L33" t="s">
        <v>23</v>
      </c>
      <c r="M33">
        <v>3.36</v>
      </c>
      <c r="N33" t="s">
        <v>80</v>
      </c>
      <c r="O33" t="s">
        <v>25</v>
      </c>
      <c r="P33">
        <v>35217</v>
      </c>
      <c r="Q33">
        <v>2</v>
      </c>
      <c r="R33" t="s">
        <v>26</v>
      </c>
      <c r="S33" t="s">
        <v>26</v>
      </c>
    </row>
    <row r="34" spans="1:19" x14ac:dyDescent="0.3">
      <c r="A34" t="s">
        <v>105</v>
      </c>
      <c r="B34" s="9">
        <v>45564</v>
      </c>
      <c r="C34" t="s">
        <v>28</v>
      </c>
      <c r="D34" t="s">
        <v>78</v>
      </c>
      <c r="E34" t="s">
        <v>37</v>
      </c>
      <c r="F34">
        <v>24</v>
      </c>
      <c r="G34" s="12" t="str">
        <f t="shared" si="0"/>
        <v>18-24</v>
      </c>
      <c r="H34">
        <v>3</v>
      </c>
      <c r="I34">
        <v>2</v>
      </c>
      <c r="J34">
        <v>6</v>
      </c>
      <c r="K34" t="s">
        <v>22</v>
      </c>
      <c r="L34" t="s">
        <v>23</v>
      </c>
      <c r="M34">
        <v>3.74</v>
      </c>
      <c r="N34" t="s">
        <v>24</v>
      </c>
      <c r="O34" t="s">
        <v>25</v>
      </c>
      <c r="P34">
        <v>44482</v>
      </c>
      <c r="Q34">
        <v>3</v>
      </c>
      <c r="R34" t="s">
        <v>25</v>
      </c>
      <c r="S34" t="s">
        <v>26</v>
      </c>
    </row>
    <row r="35" spans="1:19" x14ac:dyDescent="0.3">
      <c r="A35" t="s">
        <v>106</v>
      </c>
      <c r="B35" s="9">
        <v>45427</v>
      </c>
      <c r="C35" t="s">
        <v>59</v>
      </c>
      <c r="D35" t="s">
        <v>49</v>
      </c>
      <c r="E35" t="s">
        <v>30</v>
      </c>
      <c r="F35">
        <v>31</v>
      </c>
      <c r="G35" s="12" t="str">
        <f t="shared" si="0"/>
        <v>30-34</v>
      </c>
      <c r="H35">
        <v>7</v>
      </c>
      <c r="I35">
        <v>0</v>
      </c>
      <c r="J35">
        <v>6</v>
      </c>
      <c r="K35" t="s">
        <v>22</v>
      </c>
      <c r="L35" t="s">
        <v>23</v>
      </c>
      <c r="M35">
        <v>4.1399999999999997</v>
      </c>
      <c r="N35" t="s">
        <v>24</v>
      </c>
      <c r="O35" t="s">
        <v>25</v>
      </c>
      <c r="P35">
        <v>58865</v>
      </c>
      <c r="Q35">
        <v>1</v>
      </c>
      <c r="R35" t="s">
        <v>26</v>
      </c>
      <c r="S35" t="s">
        <v>26</v>
      </c>
    </row>
    <row r="36" spans="1:19" x14ac:dyDescent="0.3">
      <c r="A36" t="s">
        <v>107</v>
      </c>
      <c r="B36" s="9">
        <v>46001</v>
      </c>
      <c r="C36" t="s">
        <v>35</v>
      </c>
      <c r="D36" t="s">
        <v>45</v>
      </c>
      <c r="E36" t="s">
        <v>54</v>
      </c>
      <c r="F36">
        <v>24</v>
      </c>
      <c r="G36" s="12" t="str">
        <f t="shared" si="0"/>
        <v>18-24</v>
      </c>
      <c r="H36">
        <v>6</v>
      </c>
      <c r="I36">
        <v>3</v>
      </c>
      <c r="K36" t="s">
        <v>22</v>
      </c>
      <c r="L36" t="s">
        <v>23</v>
      </c>
      <c r="M36">
        <v>3.06</v>
      </c>
      <c r="N36" t="s">
        <v>24</v>
      </c>
      <c r="O36" t="s">
        <v>25</v>
      </c>
      <c r="P36">
        <v>73528</v>
      </c>
      <c r="Q36">
        <v>2</v>
      </c>
      <c r="R36" t="s">
        <v>26</v>
      </c>
      <c r="S36" t="s">
        <v>26</v>
      </c>
    </row>
    <row r="37" spans="1:19" x14ac:dyDescent="0.3">
      <c r="A37" t="s">
        <v>108</v>
      </c>
      <c r="B37" s="9">
        <v>45334</v>
      </c>
      <c r="C37" t="s">
        <v>28</v>
      </c>
      <c r="D37" t="s">
        <v>70</v>
      </c>
      <c r="E37" t="s">
        <v>75</v>
      </c>
      <c r="F37">
        <v>33</v>
      </c>
      <c r="G37" s="12" t="str">
        <f t="shared" si="0"/>
        <v>30-34</v>
      </c>
      <c r="H37">
        <v>7</v>
      </c>
      <c r="I37">
        <v>2</v>
      </c>
      <c r="J37">
        <v>5</v>
      </c>
      <c r="K37" t="s">
        <v>22</v>
      </c>
      <c r="L37" t="s">
        <v>23</v>
      </c>
      <c r="M37">
        <v>3.9</v>
      </c>
      <c r="N37" t="s">
        <v>24</v>
      </c>
      <c r="O37" t="s">
        <v>25</v>
      </c>
      <c r="P37">
        <v>58383</v>
      </c>
      <c r="Q37">
        <v>6</v>
      </c>
      <c r="R37" t="s">
        <v>25</v>
      </c>
      <c r="S37" t="s">
        <v>26</v>
      </c>
    </row>
    <row r="38" spans="1:19" x14ac:dyDescent="0.3">
      <c r="A38" t="s">
        <v>110</v>
      </c>
      <c r="B38" s="9">
        <v>45452</v>
      </c>
      <c r="C38" t="s">
        <v>52</v>
      </c>
      <c r="D38" t="s">
        <v>111</v>
      </c>
      <c r="E38" t="s">
        <v>54</v>
      </c>
      <c r="F38">
        <v>32</v>
      </c>
      <c r="G38" s="12" t="str">
        <f t="shared" si="0"/>
        <v>30-34</v>
      </c>
      <c r="H38">
        <v>6</v>
      </c>
      <c r="I38">
        <v>0</v>
      </c>
      <c r="J38">
        <v>3</v>
      </c>
      <c r="K38" t="s">
        <v>22</v>
      </c>
      <c r="L38" t="s">
        <v>23</v>
      </c>
      <c r="M38">
        <v>2.5099999999999998</v>
      </c>
      <c r="N38" t="s">
        <v>99</v>
      </c>
      <c r="O38" t="s">
        <v>25</v>
      </c>
      <c r="P38">
        <v>77061</v>
      </c>
      <c r="Q38">
        <v>1</v>
      </c>
      <c r="R38" t="s">
        <v>25</v>
      </c>
      <c r="S38" t="s">
        <v>26</v>
      </c>
    </row>
    <row r="39" spans="1:19" x14ac:dyDescent="0.3">
      <c r="A39" t="s">
        <v>112</v>
      </c>
      <c r="B39" s="9">
        <v>45979</v>
      </c>
      <c r="C39" t="s">
        <v>52</v>
      </c>
      <c r="D39" t="s">
        <v>111</v>
      </c>
      <c r="E39" t="s">
        <v>30</v>
      </c>
      <c r="F39">
        <v>32</v>
      </c>
      <c r="G39" s="12" t="str">
        <f t="shared" si="0"/>
        <v>30-34</v>
      </c>
      <c r="H39">
        <v>4</v>
      </c>
      <c r="I39">
        <v>0</v>
      </c>
      <c r="J39">
        <v>5</v>
      </c>
      <c r="K39" t="s">
        <v>22</v>
      </c>
      <c r="L39" t="s">
        <v>23</v>
      </c>
      <c r="M39">
        <v>3.06</v>
      </c>
      <c r="N39" t="s">
        <v>94</v>
      </c>
      <c r="O39" t="s">
        <v>25</v>
      </c>
      <c r="P39">
        <v>43830</v>
      </c>
      <c r="Q39">
        <v>1</v>
      </c>
      <c r="R39" t="s">
        <v>25</v>
      </c>
      <c r="S39" t="s">
        <v>26</v>
      </c>
    </row>
    <row r="40" spans="1:19" x14ac:dyDescent="0.3">
      <c r="A40" t="s">
        <v>114</v>
      </c>
      <c r="B40" s="9">
        <v>45765</v>
      </c>
      <c r="C40" t="s">
        <v>52</v>
      </c>
      <c r="D40" t="s">
        <v>87</v>
      </c>
      <c r="E40" t="s">
        <v>75</v>
      </c>
      <c r="F40">
        <v>26</v>
      </c>
      <c r="G40" s="12" t="str">
        <f t="shared" si="0"/>
        <v>25-29</v>
      </c>
      <c r="H40">
        <v>2</v>
      </c>
      <c r="I40">
        <v>2</v>
      </c>
      <c r="J40">
        <v>6</v>
      </c>
      <c r="K40" t="s">
        <v>38</v>
      </c>
      <c r="L40" t="s">
        <v>23</v>
      </c>
      <c r="M40">
        <v>3.22</v>
      </c>
      <c r="N40" t="s">
        <v>102</v>
      </c>
      <c r="O40" t="s">
        <v>25</v>
      </c>
      <c r="P40">
        <v>33856</v>
      </c>
      <c r="Q40">
        <v>2</v>
      </c>
      <c r="R40" t="s">
        <v>25</v>
      </c>
      <c r="S40" t="s">
        <v>26</v>
      </c>
    </row>
    <row r="41" spans="1:19" x14ac:dyDescent="0.3">
      <c r="A41" t="s">
        <v>116</v>
      </c>
      <c r="B41" s="9">
        <v>45579</v>
      </c>
      <c r="C41" t="s">
        <v>35</v>
      </c>
      <c r="D41" t="s">
        <v>45</v>
      </c>
      <c r="E41" t="s">
        <v>75</v>
      </c>
      <c r="F41">
        <v>30</v>
      </c>
      <c r="G41" s="12" t="str">
        <f t="shared" si="0"/>
        <v>30-34</v>
      </c>
      <c r="H41">
        <v>2</v>
      </c>
      <c r="I41">
        <v>0</v>
      </c>
      <c r="J41">
        <v>3</v>
      </c>
      <c r="K41" t="s">
        <v>22</v>
      </c>
      <c r="L41" t="s">
        <v>23</v>
      </c>
      <c r="M41">
        <v>3.18</v>
      </c>
      <c r="N41" t="s">
        <v>24</v>
      </c>
      <c r="O41" t="s">
        <v>25</v>
      </c>
      <c r="P41">
        <v>66455</v>
      </c>
      <c r="Q41">
        <v>1</v>
      </c>
      <c r="R41" t="s">
        <v>26</v>
      </c>
      <c r="S41" t="s">
        <v>26</v>
      </c>
    </row>
    <row r="42" spans="1:19" x14ac:dyDescent="0.3">
      <c r="A42" t="s">
        <v>117</v>
      </c>
      <c r="B42" s="9">
        <v>45888</v>
      </c>
      <c r="C42" t="s">
        <v>28</v>
      </c>
      <c r="D42" t="s">
        <v>29</v>
      </c>
      <c r="E42" t="s">
        <v>75</v>
      </c>
      <c r="F42">
        <v>30</v>
      </c>
      <c r="G42" s="12" t="str">
        <f t="shared" si="0"/>
        <v>30-34</v>
      </c>
      <c r="H42">
        <v>6</v>
      </c>
      <c r="I42">
        <v>4</v>
      </c>
      <c r="J42">
        <v>6</v>
      </c>
      <c r="K42" t="s">
        <v>22</v>
      </c>
      <c r="L42" t="s">
        <v>23</v>
      </c>
      <c r="M42">
        <v>3.7</v>
      </c>
      <c r="N42" t="s">
        <v>102</v>
      </c>
      <c r="O42" t="s">
        <v>25</v>
      </c>
      <c r="P42">
        <v>91345</v>
      </c>
      <c r="Q42">
        <v>1</v>
      </c>
      <c r="R42" t="s">
        <v>25</v>
      </c>
      <c r="S42" t="s">
        <v>26</v>
      </c>
    </row>
    <row r="43" spans="1:19" x14ac:dyDescent="0.3">
      <c r="A43" t="s">
        <v>118</v>
      </c>
      <c r="B43" s="9">
        <v>45412</v>
      </c>
      <c r="C43" t="s">
        <v>19</v>
      </c>
      <c r="D43" t="s">
        <v>20</v>
      </c>
      <c r="E43" t="s">
        <v>33</v>
      </c>
      <c r="F43">
        <v>24</v>
      </c>
      <c r="G43" s="12" t="str">
        <f t="shared" si="0"/>
        <v>18-24</v>
      </c>
      <c r="H43">
        <v>5</v>
      </c>
      <c r="I43">
        <v>3</v>
      </c>
      <c r="J43">
        <v>6</v>
      </c>
      <c r="K43" t="s">
        <v>22</v>
      </c>
      <c r="L43" t="s">
        <v>23</v>
      </c>
      <c r="M43">
        <v>3.38</v>
      </c>
      <c r="N43" t="s">
        <v>24</v>
      </c>
      <c r="O43" t="s">
        <v>25</v>
      </c>
      <c r="P43">
        <v>77876</v>
      </c>
      <c r="Q43">
        <v>7</v>
      </c>
      <c r="R43" t="s">
        <v>25</v>
      </c>
      <c r="S43" t="s">
        <v>26</v>
      </c>
    </row>
    <row r="44" spans="1:19" x14ac:dyDescent="0.3">
      <c r="A44" t="s">
        <v>119</v>
      </c>
      <c r="B44" s="9">
        <v>45980</v>
      </c>
      <c r="C44" t="s">
        <v>28</v>
      </c>
      <c r="D44" t="s">
        <v>78</v>
      </c>
      <c r="E44" t="s">
        <v>54</v>
      </c>
      <c r="F44">
        <v>31</v>
      </c>
      <c r="G44" s="12" t="str">
        <f t="shared" si="0"/>
        <v>30-34</v>
      </c>
      <c r="H44">
        <v>3</v>
      </c>
      <c r="I44">
        <v>0</v>
      </c>
      <c r="J44">
        <v>7</v>
      </c>
      <c r="K44" t="s">
        <v>38</v>
      </c>
      <c r="L44" t="s">
        <v>23</v>
      </c>
      <c r="M44">
        <v>3.62</v>
      </c>
      <c r="N44" t="s">
        <v>80</v>
      </c>
      <c r="O44" t="s">
        <v>25</v>
      </c>
      <c r="P44">
        <v>161284</v>
      </c>
      <c r="Q44">
        <v>3</v>
      </c>
      <c r="R44" t="s">
        <v>25</v>
      </c>
      <c r="S44" t="s">
        <v>26</v>
      </c>
    </row>
    <row r="45" spans="1:19" x14ac:dyDescent="0.3">
      <c r="A45" t="s">
        <v>120</v>
      </c>
      <c r="B45" s="9">
        <v>45813</v>
      </c>
      <c r="C45" t="s">
        <v>35</v>
      </c>
      <c r="D45" t="s">
        <v>121</v>
      </c>
      <c r="E45" t="s">
        <v>75</v>
      </c>
      <c r="F45">
        <v>32</v>
      </c>
      <c r="G45" s="12" t="str">
        <f t="shared" si="0"/>
        <v>30-34</v>
      </c>
      <c r="H45">
        <v>1</v>
      </c>
      <c r="I45">
        <v>1</v>
      </c>
      <c r="J45">
        <v>3</v>
      </c>
      <c r="K45" t="s">
        <v>22</v>
      </c>
      <c r="L45" t="s">
        <v>23</v>
      </c>
      <c r="M45">
        <v>2.97</v>
      </c>
      <c r="N45" t="s">
        <v>24</v>
      </c>
      <c r="O45" t="s">
        <v>25</v>
      </c>
      <c r="P45">
        <v>52865</v>
      </c>
      <c r="Q45">
        <v>2</v>
      </c>
      <c r="R45" t="s">
        <v>25</v>
      </c>
      <c r="S45" t="s">
        <v>26</v>
      </c>
    </row>
    <row r="46" spans="1:19" x14ac:dyDescent="0.3">
      <c r="A46" t="s">
        <v>122</v>
      </c>
      <c r="B46" s="9">
        <v>45472</v>
      </c>
      <c r="C46" t="s">
        <v>59</v>
      </c>
      <c r="D46" t="s">
        <v>49</v>
      </c>
      <c r="E46" t="s">
        <v>37</v>
      </c>
      <c r="F46">
        <v>40</v>
      </c>
      <c r="G46" s="12" t="str">
        <f t="shared" si="0"/>
        <v>40-45</v>
      </c>
      <c r="H46">
        <v>4</v>
      </c>
      <c r="I46">
        <v>2</v>
      </c>
      <c r="J46">
        <v>1</v>
      </c>
      <c r="K46" t="s">
        <v>22</v>
      </c>
      <c r="L46" t="s">
        <v>23</v>
      </c>
      <c r="M46">
        <v>3.5</v>
      </c>
      <c r="N46" t="s">
        <v>50</v>
      </c>
      <c r="O46" t="s">
        <v>25</v>
      </c>
      <c r="P46">
        <v>24682</v>
      </c>
      <c r="Q46">
        <v>1</v>
      </c>
      <c r="R46" t="s">
        <v>25</v>
      </c>
      <c r="S46" t="s">
        <v>26</v>
      </c>
    </row>
    <row r="47" spans="1:19" x14ac:dyDescent="0.3">
      <c r="A47" t="s">
        <v>123</v>
      </c>
      <c r="B47" s="9">
        <v>45915</v>
      </c>
      <c r="C47" t="s">
        <v>28</v>
      </c>
      <c r="D47" t="s">
        <v>124</v>
      </c>
      <c r="E47" t="s">
        <v>30</v>
      </c>
      <c r="F47">
        <v>34</v>
      </c>
      <c r="G47" s="12" t="str">
        <f t="shared" si="0"/>
        <v>30-34</v>
      </c>
      <c r="H47">
        <v>4</v>
      </c>
      <c r="I47">
        <v>4</v>
      </c>
      <c r="J47">
        <v>5</v>
      </c>
      <c r="K47" t="s">
        <v>38</v>
      </c>
      <c r="L47" t="s">
        <v>23</v>
      </c>
      <c r="M47">
        <v>2.5099999999999998</v>
      </c>
      <c r="N47" t="s">
        <v>24</v>
      </c>
      <c r="O47" t="s">
        <v>25</v>
      </c>
      <c r="P47">
        <v>127117</v>
      </c>
      <c r="Q47">
        <v>5</v>
      </c>
      <c r="R47" t="s">
        <v>25</v>
      </c>
      <c r="S47" t="s">
        <v>26</v>
      </c>
    </row>
    <row r="48" spans="1:19" x14ac:dyDescent="0.3">
      <c r="A48" t="s">
        <v>125</v>
      </c>
      <c r="B48" s="9">
        <v>45968</v>
      </c>
      <c r="C48" t="s">
        <v>35</v>
      </c>
      <c r="D48" t="s">
        <v>121</v>
      </c>
      <c r="E48" t="s">
        <v>21</v>
      </c>
      <c r="F48">
        <v>25</v>
      </c>
      <c r="G48" s="12" t="str">
        <f t="shared" si="0"/>
        <v>25-29</v>
      </c>
      <c r="H48">
        <v>4</v>
      </c>
      <c r="I48">
        <v>3</v>
      </c>
      <c r="J48">
        <v>5</v>
      </c>
      <c r="K48" t="s">
        <v>22</v>
      </c>
      <c r="L48" t="s">
        <v>23</v>
      </c>
      <c r="M48">
        <v>3.5</v>
      </c>
      <c r="N48" t="s">
        <v>88</v>
      </c>
      <c r="O48" t="s">
        <v>25</v>
      </c>
      <c r="P48">
        <v>48709</v>
      </c>
      <c r="Q48">
        <v>5</v>
      </c>
      <c r="R48" t="s">
        <v>25</v>
      </c>
      <c r="S48" t="s">
        <v>26</v>
      </c>
    </row>
    <row r="49" spans="1:19" x14ac:dyDescent="0.3">
      <c r="A49" t="s">
        <v>126</v>
      </c>
      <c r="B49" s="9">
        <v>45544</v>
      </c>
      <c r="C49" t="s">
        <v>35</v>
      </c>
      <c r="D49" t="s">
        <v>36</v>
      </c>
      <c r="E49" t="s">
        <v>33</v>
      </c>
      <c r="F49">
        <v>32</v>
      </c>
      <c r="G49" s="12" t="str">
        <f t="shared" si="0"/>
        <v>30-34</v>
      </c>
      <c r="H49">
        <v>1</v>
      </c>
      <c r="I49">
        <v>0</v>
      </c>
      <c r="J49">
        <v>0</v>
      </c>
      <c r="K49" t="s">
        <v>22</v>
      </c>
      <c r="L49" t="s">
        <v>23</v>
      </c>
      <c r="M49">
        <v>3.2</v>
      </c>
      <c r="N49" t="s">
        <v>24</v>
      </c>
      <c r="O49" t="s">
        <v>25</v>
      </c>
      <c r="P49">
        <v>48455</v>
      </c>
      <c r="Q49">
        <v>3</v>
      </c>
      <c r="R49" t="s">
        <v>26</v>
      </c>
      <c r="S49" t="s">
        <v>25</v>
      </c>
    </row>
    <row r="50" spans="1:19" x14ac:dyDescent="0.3">
      <c r="A50" t="s">
        <v>127</v>
      </c>
      <c r="B50" s="9">
        <v>45703</v>
      </c>
      <c r="C50" t="s">
        <v>28</v>
      </c>
      <c r="D50" t="s">
        <v>70</v>
      </c>
      <c r="E50" t="s">
        <v>54</v>
      </c>
      <c r="F50">
        <v>25</v>
      </c>
      <c r="G50" s="12" t="str">
        <f t="shared" si="0"/>
        <v>25-29</v>
      </c>
      <c r="H50">
        <v>4</v>
      </c>
      <c r="I50">
        <v>3</v>
      </c>
      <c r="J50">
        <v>4</v>
      </c>
      <c r="K50" t="s">
        <v>38</v>
      </c>
      <c r="L50" t="s">
        <v>23</v>
      </c>
      <c r="M50">
        <v>3.38</v>
      </c>
      <c r="N50" t="s">
        <v>94</v>
      </c>
      <c r="O50" t="s">
        <v>25</v>
      </c>
      <c r="P50">
        <v>166643</v>
      </c>
      <c r="Q50">
        <v>2</v>
      </c>
      <c r="R50" t="s">
        <v>25</v>
      </c>
      <c r="S50" t="s">
        <v>26</v>
      </c>
    </row>
    <row r="51" spans="1:19" x14ac:dyDescent="0.3">
      <c r="A51" t="s">
        <v>128</v>
      </c>
      <c r="B51" s="9">
        <v>45864</v>
      </c>
      <c r="C51" t="s">
        <v>52</v>
      </c>
      <c r="D51" t="s">
        <v>129</v>
      </c>
      <c r="E51" t="s">
        <v>54</v>
      </c>
      <c r="F51">
        <v>27</v>
      </c>
      <c r="G51" s="12" t="str">
        <f t="shared" si="0"/>
        <v>25-29</v>
      </c>
      <c r="H51">
        <v>7</v>
      </c>
      <c r="I51">
        <v>0</v>
      </c>
      <c r="J51">
        <v>4</v>
      </c>
      <c r="K51" t="s">
        <v>38</v>
      </c>
      <c r="L51" t="s">
        <v>23</v>
      </c>
      <c r="M51">
        <v>2.74</v>
      </c>
      <c r="N51" t="s">
        <v>88</v>
      </c>
      <c r="O51" t="s">
        <v>25</v>
      </c>
      <c r="P51">
        <v>189136</v>
      </c>
      <c r="Q51">
        <v>4</v>
      </c>
      <c r="R51" t="s">
        <v>25</v>
      </c>
      <c r="S51" t="s">
        <v>26</v>
      </c>
    </row>
    <row r="52" spans="1:19" x14ac:dyDescent="0.3">
      <c r="A52" t="s">
        <v>130</v>
      </c>
      <c r="B52" s="9">
        <v>45747</v>
      </c>
      <c r="C52" t="s">
        <v>19</v>
      </c>
      <c r="D52" t="s">
        <v>96</v>
      </c>
      <c r="E52" t="s">
        <v>37</v>
      </c>
      <c r="F52">
        <v>22</v>
      </c>
      <c r="G52" s="12" t="str">
        <f t="shared" si="0"/>
        <v>18-24</v>
      </c>
      <c r="H52">
        <v>2</v>
      </c>
      <c r="I52">
        <v>1</v>
      </c>
      <c r="J52">
        <v>6</v>
      </c>
      <c r="K52" t="s">
        <v>22</v>
      </c>
      <c r="L52" t="s">
        <v>55</v>
      </c>
      <c r="M52">
        <v>4.2699999999999996</v>
      </c>
      <c r="N52" t="s">
        <v>24</v>
      </c>
      <c r="O52" t="s">
        <v>25</v>
      </c>
      <c r="P52">
        <v>90811</v>
      </c>
      <c r="Q52">
        <v>1</v>
      </c>
      <c r="R52" t="s">
        <v>25</v>
      </c>
      <c r="S52" t="s">
        <v>26</v>
      </c>
    </row>
    <row r="53" spans="1:19" x14ac:dyDescent="0.3">
      <c r="A53" t="s">
        <v>131</v>
      </c>
      <c r="B53" s="9">
        <v>45547</v>
      </c>
      <c r="C53" t="s">
        <v>28</v>
      </c>
      <c r="D53" t="s">
        <v>29</v>
      </c>
      <c r="E53" t="s">
        <v>21</v>
      </c>
      <c r="F53">
        <v>26</v>
      </c>
      <c r="G53" s="12" t="str">
        <f t="shared" si="0"/>
        <v>25-29</v>
      </c>
      <c r="H53">
        <v>7</v>
      </c>
      <c r="I53">
        <v>4</v>
      </c>
      <c r="J53">
        <v>7</v>
      </c>
      <c r="K53" t="s">
        <v>22</v>
      </c>
      <c r="L53" t="s">
        <v>23</v>
      </c>
      <c r="M53">
        <v>2.71</v>
      </c>
      <c r="N53" t="s">
        <v>102</v>
      </c>
      <c r="O53" t="s">
        <v>25</v>
      </c>
      <c r="P53">
        <v>55789</v>
      </c>
      <c r="Q53">
        <v>3</v>
      </c>
      <c r="R53" t="s">
        <v>25</v>
      </c>
      <c r="S53" t="s">
        <v>26</v>
      </c>
    </row>
    <row r="54" spans="1:19" x14ac:dyDescent="0.3">
      <c r="A54" t="s">
        <v>132</v>
      </c>
      <c r="B54" s="9">
        <v>45621</v>
      </c>
      <c r="C54" t="s">
        <v>35</v>
      </c>
      <c r="D54" t="s">
        <v>121</v>
      </c>
      <c r="E54" t="s">
        <v>37</v>
      </c>
      <c r="F54">
        <v>24</v>
      </c>
      <c r="G54" s="12" t="str">
        <f t="shared" si="0"/>
        <v>18-24</v>
      </c>
      <c r="H54">
        <v>6</v>
      </c>
      <c r="I54">
        <v>1</v>
      </c>
      <c r="J54">
        <v>4</v>
      </c>
      <c r="K54" t="s">
        <v>22</v>
      </c>
      <c r="L54" t="s">
        <v>23</v>
      </c>
      <c r="M54">
        <v>1.32</v>
      </c>
      <c r="N54" t="s">
        <v>24</v>
      </c>
      <c r="O54" t="s">
        <v>25</v>
      </c>
      <c r="P54">
        <v>39390</v>
      </c>
      <c r="Q54">
        <v>1</v>
      </c>
      <c r="R54" t="s">
        <v>25</v>
      </c>
      <c r="S54" t="s">
        <v>26</v>
      </c>
    </row>
    <row r="55" spans="1:19" x14ac:dyDescent="0.3">
      <c r="A55" t="s">
        <v>133</v>
      </c>
      <c r="B55" s="9">
        <v>45632</v>
      </c>
      <c r="C55" t="s">
        <v>19</v>
      </c>
      <c r="D55" t="s">
        <v>72</v>
      </c>
      <c r="E55" t="s">
        <v>37</v>
      </c>
      <c r="F55">
        <v>22</v>
      </c>
      <c r="G55" s="12" t="str">
        <f t="shared" si="0"/>
        <v>18-24</v>
      </c>
      <c r="H55">
        <v>2</v>
      </c>
      <c r="I55">
        <v>0</v>
      </c>
      <c r="J55">
        <v>8</v>
      </c>
      <c r="K55" t="s">
        <v>22</v>
      </c>
      <c r="L55" t="s">
        <v>23</v>
      </c>
      <c r="M55">
        <v>2.31</v>
      </c>
      <c r="N55" t="s">
        <v>24</v>
      </c>
      <c r="O55" t="s">
        <v>25</v>
      </c>
      <c r="P55">
        <v>53998</v>
      </c>
      <c r="Q55">
        <v>2</v>
      </c>
      <c r="R55" t="s">
        <v>25</v>
      </c>
      <c r="S55" t="s">
        <v>26</v>
      </c>
    </row>
    <row r="56" spans="1:19" x14ac:dyDescent="0.3">
      <c r="A56" t="s">
        <v>134</v>
      </c>
      <c r="B56" s="9">
        <v>45314</v>
      </c>
      <c r="C56" t="s">
        <v>59</v>
      </c>
      <c r="D56" t="s">
        <v>60</v>
      </c>
      <c r="E56" t="s">
        <v>37</v>
      </c>
      <c r="F56">
        <v>36</v>
      </c>
      <c r="G56" s="12" t="str">
        <f t="shared" si="0"/>
        <v>35-40</v>
      </c>
      <c r="H56">
        <v>1</v>
      </c>
      <c r="I56">
        <v>0</v>
      </c>
      <c r="J56">
        <v>2</v>
      </c>
      <c r="K56" t="s">
        <v>38</v>
      </c>
      <c r="L56" t="s">
        <v>23</v>
      </c>
      <c r="M56">
        <v>3.74</v>
      </c>
      <c r="N56" t="s">
        <v>94</v>
      </c>
      <c r="O56" t="s">
        <v>25</v>
      </c>
      <c r="P56">
        <v>145255</v>
      </c>
      <c r="Q56">
        <v>2</v>
      </c>
      <c r="R56" t="s">
        <v>25</v>
      </c>
      <c r="S56" t="s">
        <v>26</v>
      </c>
    </row>
    <row r="57" spans="1:19" x14ac:dyDescent="0.3">
      <c r="A57" t="s">
        <v>135</v>
      </c>
      <c r="B57" s="9">
        <v>45845</v>
      </c>
      <c r="C57" t="s">
        <v>59</v>
      </c>
      <c r="D57" t="s">
        <v>60</v>
      </c>
      <c r="E57" t="s">
        <v>30</v>
      </c>
      <c r="F57">
        <v>31</v>
      </c>
      <c r="G57" s="12" t="str">
        <f t="shared" si="0"/>
        <v>30-34</v>
      </c>
      <c r="H57">
        <v>1</v>
      </c>
      <c r="I57">
        <v>1</v>
      </c>
      <c r="J57">
        <v>5</v>
      </c>
      <c r="K57" t="s">
        <v>22</v>
      </c>
      <c r="L57" t="s">
        <v>23</v>
      </c>
      <c r="M57">
        <v>2.77</v>
      </c>
      <c r="N57" t="s">
        <v>102</v>
      </c>
      <c r="O57" t="s">
        <v>25</v>
      </c>
      <c r="P57">
        <v>66745</v>
      </c>
      <c r="Q57">
        <v>1</v>
      </c>
      <c r="R57" t="s">
        <v>25</v>
      </c>
      <c r="S57" t="s">
        <v>26</v>
      </c>
    </row>
    <row r="58" spans="1:19" x14ac:dyDescent="0.3">
      <c r="A58" t="s">
        <v>136</v>
      </c>
      <c r="B58" s="9">
        <v>45708</v>
      </c>
      <c r="C58" t="s">
        <v>28</v>
      </c>
      <c r="D58" t="s">
        <v>78</v>
      </c>
      <c r="E58" t="s">
        <v>30</v>
      </c>
      <c r="F58">
        <v>29</v>
      </c>
      <c r="G58" s="12" t="str">
        <f t="shared" si="0"/>
        <v>25-29</v>
      </c>
      <c r="H58">
        <v>4</v>
      </c>
      <c r="I58">
        <v>1</v>
      </c>
      <c r="J58">
        <v>6</v>
      </c>
      <c r="K58" t="s">
        <v>22</v>
      </c>
      <c r="L58" t="s">
        <v>23</v>
      </c>
      <c r="M58">
        <v>3.97</v>
      </c>
      <c r="N58" t="s">
        <v>24</v>
      </c>
      <c r="O58" t="s">
        <v>25</v>
      </c>
      <c r="P58">
        <v>34054</v>
      </c>
      <c r="Q58">
        <v>5</v>
      </c>
      <c r="R58" t="s">
        <v>25</v>
      </c>
      <c r="S58" t="s">
        <v>26</v>
      </c>
    </row>
    <row r="59" spans="1:19" x14ac:dyDescent="0.3">
      <c r="A59" t="s">
        <v>137</v>
      </c>
      <c r="B59" s="9">
        <v>45379</v>
      </c>
      <c r="C59" t="s">
        <v>52</v>
      </c>
      <c r="D59" t="s">
        <v>64</v>
      </c>
      <c r="E59" t="s">
        <v>30</v>
      </c>
      <c r="F59">
        <v>47</v>
      </c>
      <c r="G59" s="12" t="str">
        <f t="shared" si="0"/>
        <v>45+</v>
      </c>
      <c r="H59">
        <v>2</v>
      </c>
      <c r="I59">
        <v>2</v>
      </c>
      <c r="J59">
        <v>4</v>
      </c>
      <c r="K59" t="s">
        <v>22</v>
      </c>
      <c r="L59" t="s">
        <v>23</v>
      </c>
      <c r="M59">
        <v>3.42</v>
      </c>
      <c r="N59" t="s">
        <v>24</v>
      </c>
      <c r="O59" t="s">
        <v>25</v>
      </c>
      <c r="P59">
        <v>72024</v>
      </c>
      <c r="Q59">
        <v>1</v>
      </c>
      <c r="R59" t="s">
        <v>25</v>
      </c>
      <c r="S59" t="s">
        <v>26</v>
      </c>
    </row>
    <row r="60" spans="1:19" x14ac:dyDescent="0.3">
      <c r="A60" t="s">
        <v>139</v>
      </c>
      <c r="B60" s="9">
        <v>45639</v>
      </c>
      <c r="C60" t="s">
        <v>59</v>
      </c>
      <c r="D60" t="s">
        <v>74</v>
      </c>
      <c r="E60" t="s">
        <v>33</v>
      </c>
      <c r="F60">
        <v>27</v>
      </c>
      <c r="G60" s="12" t="str">
        <f t="shared" si="0"/>
        <v>25-29</v>
      </c>
      <c r="H60">
        <v>7</v>
      </c>
      <c r="I60">
        <v>3</v>
      </c>
      <c r="J60">
        <v>4</v>
      </c>
      <c r="K60" t="s">
        <v>22</v>
      </c>
      <c r="L60" t="s">
        <v>23</v>
      </c>
      <c r="M60">
        <v>2.78</v>
      </c>
      <c r="N60" t="s">
        <v>24</v>
      </c>
      <c r="O60" t="s">
        <v>25</v>
      </c>
      <c r="P60">
        <v>86240</v>
      </c>
      <c r="Q60">
        <v>2</v>
      </c>
      <c r="R60" t="s">
        <v>25</v>
      </c>
      <c r="S60" t="s">
        <v>26</v>
      </c>
    </row>
    <row r="61" spans="1:19" x14ac:dyDescent="0.3">
      <c r="A61" t="s">
        <v>140</v>
      </c>
      <c r="B61" s="9">
        <v>45523</v>
      </c>
      <c r="C61" t="s">
        <v>35</v>
      </c>
      <c r="D61" t="s">
        <v>121</v>
      </c>
      <c r="E61" t="s">
        <v>30</v>
      </c>
      <c r="F61">
        <v>25</v>
      </c>
      <c r="G61" s="12" t="str">
        <f t="shared" si="0"/>
        <v>25-29</v>
      </c>
      <c r="H61">
        <v>3</v>
      </c>
      <c r="I61">
        <v>0</v>
      </c>
      <c r="J61">
        <v>6</v>
      </c>
      <c r="K61" t="s">
        <v>22</v>
      </c>
      <c r="L61" t="s">
        <v>23</v>
      </c>
      <c r="M61">
        <v>3.27</v>
      </c>
      <c r="N61" t="s">
        <v>24</v>
      </c>
      <c r="O61" t="s">
        <v>25</v>
      </c>
      <c r="P61">
        <v>85321</v>
      </c>
      <c r="Q61">
        <v>2</v>
      </c>
      <c r="R61" t="s">
        <v>25</v>
      </c>
      <c r="S61" t="s">
        <v>26</v>
      </c>
    </row>
    <row r="62" spans="1:19" x14ac:dyDescent="0.3">
      <c r="A62" t="s">
        <v>141</v>
      </c>
      <c r="B62" s="9">
        <v>45423</v>
      </c>
      <c r="C62" t="s">
        <v>19</v>
      </c>
      <c r="D62" t="s">
        <v>20</v>
      </c>
      <c r="E62" t="s">
        <v>33</v>
      </c>
      <c r="F62">
        <v>24</v>
      </c>
      <c r="G62" s="12" t="str">
        <f t="shared" si="0"/>
        <v>18-24</v>
      </c>
      <c r="H62">
        <v>7</v>
      </c>
      <c r="I62">
        <v>0</v>
      </c>
      <c r="J62">
        <v>3</v>
      </c>
      <c r="K62" t="s">
        <v>38</v>
      </c>
      <c r="L62" t="s">
        <v>23</v>
      </c>
      <c r="M62">
        <v>3.51</v>
      </c>
      <c r="N62" t="s">
        <v>24</v>
      </c>
      <c r="O62" t="s">
        <v>25</v>
      </c>
      <c r="P62">
        <v>160259</v>
      </c>
      <c r="Q62">
        <v>3</v>
      </c>
      <c r="R62" t="s">
        <v>26</v>
      </c>
      <c r="S62" t="s">
        <v>26</v>
      </c>
    </row>
    <row r="63" spans="1:19" x14ac:dyDescent="0.3">
      <c r="A63" t="s">
        <v>143</v>
      </c>
      <c r="B63" s="9">
        <v>45411</v>
      </c>
      <c r="C63" t="s">
        <v>19</v>
      </c>
      <c r="D63" t="s">
        <v>72</v>
      </c>
      <c r="E63" t="s">
        <v>54</v>
      </c>
      <c r="F63">
        <v>29</v>
      </c>
      <c r="G63" s="12" t="str">
        <f t="shared" si="0"/>
        <v>25-29</v>
      </c>
      <c r="H63">
        <v>4</v>
      </c>
      <c r="I63">
        <v>2</v>
      </c>
      <c r="J63">
        <v>7</v>
      </c>
      <c r="K63" t="s">
        <v>38</v>
      </c>
      <c r="L63" t="s">
        <v>23</v>
      </c>
      <c r="M63">
        <v>2.77</v>
      </c>
      <c r="N63" t="s">
        <v>50</v>
      </c>
      <c r="O63" t="s">
        <v>25</v>
      </c>
      <c r="P63">
        <v>158677</v>
      </c>
      <c r="Q63">
        <v>3</v>
      </c>
      <c r="R63" t="s">
        <v>25</v>
      </c>
      <c r="S63" t="s">
        <v>26</v>
      </c>
    </row>
    <row r="64" spans="1:19" x14ac:dyDescent="0.3">
      <c r="A64" t="s">
        <v>145</v>
      </c>
      <c r="B64" s="9">
        <v>45497</v>
      </c>
      <c r="C64" t="s">
        <v>35</v>
      </c>
      <c r="D64" t="s">
        <v>40</v>
      </c>
      <c r="E64" t="s">
        <v>21</v>
      </c>
      <c r="F64">
        <v>27</v>
      </c>
      <c r="G64" s="12" t="str">
        <f t="shared" si="0"/>
        <v>25-29</v>
      </c>
      <c r="H64">
        <v>5</v>
      </c>
      <c r="I64">
        <v>0</v>
      </c>
      <c r="J64">
        <v>7</v>
      </c>
      <c r="K64" t="s">
        <v>38</v>
      </c>
      <c r="L64" t="s">
        <v>23</v>
      </c>
      <c r="M64">
        <v>3.55</v>
      </c>
      <c r="N64" t="s">
        <v>102</v>
      </c>
      <c r="O64" t="s">
        <v>25</v>
      </c>
      <c r="P64">
        <v>165337</v>
      </c>
      <c r="Q64">
        <v>5</v>
      </c>
      <c r="R64" t="s">
        <v>25</v>
      </c>
      <c r="S64" t="s">
        <v>26</v>
      </c>
    </row>
    <row r="65" spans="1:19" x14ac:dyDescent="0.3">
      <c r="A65" t="s">
        <v>146</v>
      </c>
      <c r="B65" s="9">
        <v>45336</v>
      </c>
      <c r="C65" t="s">
        <v>28</v>
      </c>
      <c r="D65" t="s">
        <v>78</v>
      </c>
      <c r="E65" t="s">
        <v>75</v>
      </c>
      <c r="F65">
        <v>29</v>
      </c>
      <c r="G65" s="12" t="str">
        <f t="shared" si="0"/>
        <v>25-29</v>
      </c>
      <c r="H65">
        <v>1</v>
      </c>
      <c r="I65">
        <v>1</v>
      </c>
      <c r="J65">
        <v>6</v>
      </c>
      <c r="K65" t="s">
        <v>38</v>
      </c>
      <c r="L65" t="s">
        <v>23</v>
      </c>
      <c r="M65">
        <v>2.93</v>
      </c>
      <c r="N65" t="s">
        <v>24</v>
      </c>
      <c r="O65" t="s">
        <v>25</v>
      </c>
      <c r="P65">
        <v>153104</v>
      </c>
      <c r="Q65">
        <v>3</v>
      </c>
      <c r="R65" t="s">
        <v>25</v>
      </c>
      <c r="S65" t="s">
        <v>26</v>
      </c>
    </row>
    <row r="66" spans="1:19" x14ac:dyDescent="0.3">
      <c r="A66" t="s">
        <v>147</v>
      </c>
      <c r="B66" s="9">
        <v>45795</v>
      </c>
      <c r="C66" t="s">
        <v>28</v>
      </c>
      <c r="D66" t="s">
        <v>29</v>
      </c>
      <c r="E66" t="s">
        <v>21</v>
      </c>
      <c r="F66">
        <v>29</v>
      </c>
      <c r="G66" s="12" t="str">
        <f t="shared" si="0"/>
        <v>25-29</v>
      </c>
      <c r="H66">
        <v>6</v>
      </c>
      <c r="I66">
        <v>2</v>
      </c>
      <c r="J66">
        <v>6</v>
      </c>
      <c r="K66" t="s">
        <v>22</v>
      </c>
      <c r="L66" t="s">
        <v>23</v>
      </c>
      <c r="M66">
        <v>2.65</v>
      </c>
      <c r="N66" t="s">
        <v>24</v>
      </c>
      <c r="O66" t="s">
        <v>25</v>
      </c>
      <c r="P66">
        <v>117309</v>
      </c>
      <c r="Q66">
        <v>1</v>
      </c>
      <c r="R66" t="s">
        <v>25</v>
      </c>
      <c r="S66" t="s">
        <v>26</v>
      </c>
    </row>
    <row r="67" spans="1:19" x14ac:dyDescent="0.3">
      <c r="A67" t="s">
        <v>148</v>
      </c>
      <c r="B67" s="9">
        <v>45570</v>
      </c>
      <c r="C67" t="s">
        <v>59</v>
      </c>
      <c r="D67" t="s">
        <v>49</v>
      </c>
      <c r="E67" t="s">
        <v>37</v>
      </c>
      <c r="F67">
        <v>22</v>
      </c>
      <c r="G67" s="12" t="str">
        <f t="shared" ref="G67:G130" si="1">IF(F67&lt;25,"18-24",IF(F67&lt;30,"25-29",IF(F67&lt;35,"30-34",IF(F67&lt;40,"35-40",IF(F67&lt;45,"40-45","45+")))))</f>
        <v>18-24</v>
      </c>
      <c r="H67">
        <v>6</v>
      </c>
      <c r="I67">
        <v>3</v>
      </c>
      <c r="J67">
        <v>7</v>
      </c>
      <c r="K67" t="s">
        <v>22</v>
      </c>
      <c r="L67" t="s">
        <v>23</v>
      </c>
      <c r="M67">
        <v>3.54</v>
      </c>
      <c r="N67" t="s">
        <v>94</v>
      </c>
      <c r="O67" t="s">
        <v>25</v>
      </c>
      <c r="P67">
        <v>160602</v>
      </c>
      <c r="Q67">
        <v>4</v>
      </c>
      <c r="R67" t="s">
        <v>25</v>
      </c>
      <c r="S67" t="s">
        <v>26</v>
      </c>
    </row>
    <row r="68" spans="1:19" x14ac:dyDescent="0.3">
      <c r="A68" t="s">
        <v>149</v>
      </c>
      <c r="B68" s="9">
        <v>45382</v>
      </c>
      <c r="C68" t="s">
        <v>28</v>
      </c>
      <c r="D68" t="s">
        <v>29</v>
      </c>
      <c r="E68" t="s">
        <v>75</v>
      </c>
      <c r="F68">
        <v>28</v>
      </c>
      <c r="G68" s="12" t="str">
        <f t="shared" si="1"/>
        <v>25-29</v>
      </c>
      <c r="H68">
        <v>4</v>
      </c>
      <c r="I68">
        <v>3</v>
      </c>
      <c r="J68">
        <v>3</v>
      </c>
      <c r="K68" t="s">
        <v>38</v>
      </c>
      <c r="L68" t="s">
        <v>23</v>
      </c>
      <c r="M68">
        <v>3.14</v>
      </c>
      <c r="N68" t="s">
        <v>24</v>
      </c>
      <c r="O68" t="s">
        <v>25</v>
      </c>
      <c r="P68">
        <v>128070</v>
      </c>
      <c r="Q68">
        <v>5</v>
      </c>
      <c r="R68" t="s">
        <v>25</v>
      </c>
      <c r="S68" t="s">
        <v>26</v>
      </c>
    </row>
    <row r="69" spans="1:19" x14ac:dyDescent="0.3">
      <c r="A69" t="s">
        <v>150</v>
      </c>
      <c r="B69" s="9">
        <v>45626</v>
      </c>
      <c r="C69" t="s">
        <v>59</v>
      </c>
      <c r="D69" t="s">
        <v>74</v>
      </c>
      <c r="E69" t="s">
        <v>54</v>
      </c>
      <c r="F69">
        <v>28</v>
      </c>
      <c r="G69" s="12" t="str">
        <f t="shared" si="1"/>
        <v>25-29</v>
      </c>
      <c r="H69">
        <v>7</v>
      </c>
      <c r="I69">
        <v>3</v>
      </c>
      <c r="J69">
        <v>3</v>
      </c>
      <c r="K69" t="s">
        <v>22</v>
      </c>
      <c r="L69" t="s">
        <v>23</v>
      </c>
      <c r="M69">
        <v>2.92</v>
      </c>
      <c r="N69" t="s">
        <v>24</v>
      </c>
      <c r="O69" t="s">
        <v>25</v>
      </c>
      <c r="P69">
        <v>75323</v>
      </c>
      <c r="Q69">
        <v>1</v>
      </c>
      <c r="R69" t="s">
        <v>25</v>
      </c>
      <c r="S69" t="s">
        <v>26</v>
      </c>
    </row>
    <row r="70" spans="1:19" x14ac:dyDescent="0.3">
      <c r="A70" t="s">
        <v>151</v>
      </c>
      <c r="B70" s="9">
        <v>45489</v>
      </c>
      <c r="C70" t="s">
        <v>59</v>
      </c>
      <c r="D70" t="s">
        <v>74</v>
      </c>
      <c r="E70" t="s">
        <v>21</v>
      </c>
      <c r="F70">
        <v>24</v>
      </c>
      <c r="G70" s="12" t="str">
        <f t="shared" si="1"/>
        <v>18-24</v>
      </c>
      <c r="H70">
        <v>3</v>
      </c>
      <c r="I70">
        <v>2</v>
      </c>
      <c r="J70">
        <v>5</v>
      </c>
      <c r="K70" t="s">
        <v>22</v>
      </c>
      <c r="L70" t="s">
        <v>23</v>
      </c>
      <c r="M70">
        <v>3.23</v>
      </c>
      <c r="N70" t="s">
        <v>50</v>
      </c>
      <c r="O70" t="s">
        <v>25</v>
      </c>
      <c r="P70">
        <v>52326</v>
      </c>
      <c r="Q70">
        <v>1</v>
      </c>
      <c r="R70" t="s">
        <v>26</v>
      </c>
      <c r="S70" t="s">
        <v>26</v>
      </c>
    </row>
    <row r="71" spans="1:19" x14ac:dyDescent="0.3">
      <c r="A71" t="s">
        <v>152</v>
      </c>
      <c r="B71" s="9">
        <v>45477</v>
      </c>
      <c r="C71" t="s">
        <v>52</v>
      </c>
      <c r="D71" t="s">
        <v>64</v>
      </c>
      <c r="E71" t="s">
        <v>75</v>
      </c>
      <c r="F71">
        <v>30</v>
      </c>
      <c r="G71" s="12" t="str">
        <f t="shared" si="1"/>
        <v>30-34</v>
      </c>
      <c r="H71">
        <v>4</v>
      </c>
      <c r="I71">
        <v>4</v>
      </c>
      <c r="J71">
        <v>2</v>
      </c>
      <c r="K71" t="s">
        <v>38</v>
      </c>
      <c r="L71" t="s">
        <v>23</v>
      </c>
      <c r="M71">
        <v>2.33</v>
      </c>
      <c r="N71" t="s">
        <v>50</v>
      </c>
      <c r="O71" t="s">
        <v>25</v>
      </c>
      <c r="P71">
        <v>127038</v>
      </c>
      <c r="Q71">
        <v>3</v>
      </c>
      <c r="R71" t="s">
        <v>25</v>
      </c>
      <c r="S71" t="s">
        <v>26</v>
      </c>
    </row>
    <row r="72" spans="1:19" x14ac:dyDescent="0.3">
      <c r="A72" t="s">
        <v>153</v>
      </c>
      <c r="B72" s="9">
        <v>45729</v>
      </c>
      <c r="C72" t="s">
        <v>52</v>
      </c>
      <c r="D72" t="s">
        <v>64</v>
      </c>
      <c r="E72" t="s">
        <v>30</v>
      </c>
      <c r="F72">
        <v>30</v>
      </c>
      <c r="G72" s="12" t="str">
        <f t="shared" si="1"/>
        <v>30-34</v>
      </c>
      <c r="H72">
        <v>6</v>
      </c>
      <c r="I72">
        <v>1</v>
      </c>
      <c r="J72">
        <v>7</v>
      </c>
      <c r="K72" t="s">
        <v>22</v>
      </c>
      <c r="L72" t="s">
        <v>23</v>
      </c>
      <c r="M72">
        <v>3.57</v>
      </c>
      <c r="N72" t="s">
        <v>24</v>
      </c>
      <c r="O72" t="s">
        <v>25</v>
      </c>
      <c r="P72">
        <v>61001</v>
      </c>
      <c r="Q72">
        <v>1</v>
      </c>
      <c r="R72" t="s">
        <v>25</v>
      </c>
      <c r="S72" t="s">
        <v>26</v>
      </c>
    </row>
    <row r="73" spans="1:19" x14ac:dyDescent="0.3">
      <c r="A73" t="s">
        <v>154</v>
      </c>
      <c r="B73" s="9">
        <v>45416</v>
      </c>
      <c r="C73" t="s">
        <v>28</v>
      </c>
      <c r="D73" t="s">
        <v>124</v>
      </c>
      <c r="E73" t="s">
        <v>30</v>
      </c>
      <c r="F73">
        <v>23</v>
      </c>
      <c r="G73" s="12" t="str">
        <f t="shared" si="1"/>
        <v>18-24</v>
      </c>
      <c r="H73">
        <v>3</v>
      </c>
      <c r="I73">
        <v>3</v>
      </c>
      <c r="J73">
        <v>4</v>
      </c>
      <c r="K73" t="s">
        <v>22</v>
      </c>
      <c r="L73" t="s">
        <v>23</v>
      </c>
      <c r="M73">
        <v>2.94</v>
      </c>
      <c r="N73" t="s">
        <v>24</v>
      </c>
      <c r="O73" t="s">
        <v>25</v>
      </c>
      <c r="P73">
        <v>73067</v>
      </c>
      <c r="Q73">
        <v>1</v>
      </c>
      <c r="R73" t="s">
        <v>25</v>
      </c>
      <c r="S73" t="s">
        <v>26</v>
      </c>
    </row>
    <row r="74" spans="1:19" x14ac:dyDescent="0.3">
      <c r="A74" t="s">
        <v>155</v>
      </c>
      <c r="B74" s="9">
        <v>45905</v>
      </c>
      <c r="C74" t="s">
        <v>28</v>
      </c>
      <c r="D74" t="s">
        <v>78</v>
      </c>
      <c r="E74" t="s">
        <v>75</v>
      </c>
      <c r="F74">
        <v>31</v>
      </c>
      <c r="G74" s="12" t="str">
        <f t="shared" si="1"/>
        <v>30-34</v>
      </c>
      <c r="H74">
        <v>2</v>
      </c>
      <c r="I74">
        <v>0</v>
      </c>
      <c r="J74">
        <v>8</v>
      </c>
      <c r="K74" t="s">
        <v>38</v>
      </c>
      <c r="L74" t="s">
        <v>23</v>
      </c>
      <c r="M74">
        <v>3.04</v>
      </c>
      <c r="N74" t="s">
        <v>24</v>
      </c>
      <c r="O74" t="s">
        <v>25</v>
      </c>
      <c r="P74">
        <v>155042</v>
      </c>
      <c r="Q74">
        <v>5</v>
      </c>
      <c r="R74" t="s">
        <v>25</v>
      </c>
      <c r="S74" t="s">
        <v>26</v>
      </c>
    </row>
    <row r="75" spans="1:19" x14ac:dyDescent="0.3">
      <c r="A75" t="s">
        <v>156</v>
      </c>
      <c r="B75" s="9">
        <v>45349</v>
      </c>
      <c r="C75" t="s">
        <v>19</v>
      </c>
      <c r="D75" t="s">
        <v>72</v>
      </c>
      <c r="E75" t="s">
        <v>37</v>
      </c>
      <c r="F75">
        <v>26</v>
      </c>
      <c r="G75" s="12" t="str">
        <f t="shared" si="1"/>
        <v>25-29</v>
      </c>
      <c r="H75">
        <v>3</v>
      </c>
      <c r="I75">
        <v>1</v>
      </c>
      <c r="J75">
        <v>5</v>
      </c>
      <c r="K75" t="s">
        <v>38</v>
      </c>
      <c r="L75" t="s">
        <v>23</v>
      </c>
      <c r="M75">
        <v>3.11</v>
      </c>
      <c r="N75" t="s">
        <v>50</v>
      </c>
      <c r="O75" t="s">
        <v>25</v>
      </c>
      <c r="P75">
        <v>67441</v>
      </c>
      <c r="Q75">
        <v>1</v>
      </c>
      <c r="R75" t="s">
        <v>26</v>
      </c>
      <c r="S75" t="s">
        <v>26</v>
      </c>
    </row>
    <row r="76" spans="1:19" x14ac:dyDescent="0.3">
      <c r="A76" t="s">
        <v>157</v>
      </c>
      <c r="B76" s="9">
        <v>45642</v>
      </c>
      <c r="C76" t="s">
        <v>35</v>
      </c>
      <c r="D76" t="s">
        <v>45</v>
      </c>
      <c r="E76" t="s">
        <v>54</v>
      </c>
      <c r="F76">
        <v>29</v>
      </c>
      <c r="G76" s="12" t="str">
        <f t="shared" si="1"/>
        <v>25-29</v>
      </c>
      <c r="H76">
        <v>6</v>
      </c>
      <c r="I76">
        <v>3</v>
      </c>
      <c r="J76">
        <v>5</v>
      </c>
      <c r="K76" t="s">
        <v>22</v>
      </c>
      <c r="L76" t="s">
        <v>23</v>
      </c>
      <c r="M76">
        <v>3.9</v>
      </c>
      <c r="N76" t="s">
        <v>24</v>
      </c>
      <c r="O76" t="s">
        <v>25</v>
      </c>
      <c r="P76">
        <v>88981</v>
      </c>
      <c r="Q76">
        <v>5</v>
      </c>
      <c r="R76" t="s">
        <v>25</v>
      </c>
      <c r="S76" t="s">
        <v>26</v>
      </c>
    </row>
    <row r="77" spans="1:19" x14ac:dyDescent="0.3">
      <c r="A77" t="s">
        <v>158</v>
      </c>
      <c r="B77" s="9">
        <v>45996</v>
      </c>
      <c r="C77" t="s">
        <v>19</v>
      </c>
      <c r="D77" t="s">
        <v>57</v>
      </c>
      <c r="E77" t="s">
        <v>21</v>
      </c>
      <c r="F77">
        <v>25</v>
      </c>
      <c r="G77" s="12" t="str">
        <f t="shared" si="1"/>
        <v>25-29</v>
      </c>
      <c r="H77">
        <v>7</v>
      </c>
      <c r="I77">
        <v>3</v>
      </c>
      <c r="J77">
        <v>6</v>
      </c>
      <c r="K77" t="s">
        <v>22</v>
      </c>
      <c r="L77" t="s">
        <v>23</v>
      </c>
      <c r="M77">
        <v>3.2</v>
      </c>
      <c r="N77" t="s">
        <v>24</v>
      </c>
      <c r="O77" t="s">
        <v>25</v>
      </c>
      <c r="P77">
        <v>55789</v>
      </c>
      <c r="Q77">
        <v>1</v>
      </c>
      <c r="R77" t="s">
        <v>25</v>
      </c>
      <c r="S77" t="s">
        <v>26</v>
      </c>
    </row>
    <row r="78" spans="1:19" x14ac:dyDescent="0.3">
      <c r="A78" t="s">
        <v>159</v>
      </c>
      <c r="B78" s="9">
        <v>45720</v>
      </c>
      <c r="C78" t="s">
        <v>52</v>
      </c>
      <c r="D78" t="s">
        <v>111</v>
      </c>
      <c r="E78" t="s">
        <v>37</v>
      </c>
      <c r="F78">
        <v>24</v>
      </c>
      <c r="G78" s="12" t="str">
        <f t="shared" si="1"/>
        <v>18-24</v>
      </c>
      <c r="H78">
        <v>7</v>
      </c>
      <c r="I78">
        <v>4</v>
      </c>
      <c r="J78">
        <v>3</v>
      </c>
      <c r="K78" t="s">
        <v>38</v>
      </c>
      <c r="L78" t="s">
        <v>23</v>
      </c>
      <c r="M78">
        <v>1.93</v>
      </c>
      <c r="N78" t="s">
        <v>24</v>
      </c>
      <c r="O78" t="s">
        <v>25</v>
      </c>
      <c r="P78">
        <v>131856</v>
      </c>
      <c r="Q78">
        <v>2</v>
      </c>
      <c r="R78" t="s">
        <v>25</v>
      </c>
      <c r="S78" t="s">
        <v>26</v>
      </c>
    </row>
    <row r="79" spans="1:19" x14ac:dyDescent="0.3">
      <c r="A79" t="s">
        <v>160</v>
      </c>
      <c r="B79" s="9">
        <v>45733</v>
      </c>
      <c r="C79" t="s">
        <v>28</v>
      </c>
      <c r="D79" t="s">
        <v>78</v>
      </c>
      <c r="E79" t="s">
        <v>75</v>
      </c>
      <c r="F79">
        <v>29</v>
      </c>
      <c r="G79" s="12" t="str">
        <f t="shared" si="1"/>
        <v>25-29</v>
      </c>
      <c r="H79">
        <v>7</v>
      </c>
      <c r="I79">
        <v>4</v>
      </c>
      <c r="J79">
        <v>5</v>
      </c>
      <c r="K79" t="s">
        <v>22</v>
      </c>
      <c r="L79" t="s">
        <v>23</v>
      </c>
      <c r="M79">
        <v>4.13</v>
      </c>
      <c r="N79" t="s">
        <v>24</v>
      </c>
      <c r="O79" t="s">
        <v>25</v>
      </c>
      <c r="P79">
        <v>88760</v>
      </c>
      <c r="Q79">
        <v>1</v>
      </c>
      <c r="R79" t="s">
        <v>25</v>
      </c>
      <c r="S79" t="s">
        <v>26</v>
      </c>
    </row>
    <row r="80" spans="1:19" x14ac:dyDescent="0.3">
      <c r="A80" t="s">
        <v>161</v>
      </c>
      <c r="B80" s="9">
        <v>45539</v>
      </c>
      <c r="C80" t="s">
        <v>28</v>
      </c>
      <c r="D80" t="s">
        <v>70</v>
      </c>
      <c r="E80" t="s">
        <v>54</v>
      </c>
      <c r="F80">
        <v>24</v>
      </c>
      <c r="G80" s="12" t="str">
        <f t="shared" si="1"/>
        <v>18-24</v>
      </c>
      <c r="H80">
        <v>5</v>
      </c>
      <c r="I80">
        <v>5</v>
      </c>
      <c r="J80">
        <v>5</v>
      </c>
      <c r="K80" t="s">
        <v>22</v>
      </c>
      <c r="L80" t="s">
        <v>23</v>
      </c>
      <c r="M80">
        <v>2.37</v>
      </c>
      <c r="N80" t="s">
        <v>50</v>
      </c>
      <c r="O80" t="s">
        <v>25</v>
      </c>
      <c r="P80">
        <v>110786</v>
      </c>
      <c r="Q80">
        <v>3</v>
      </c>
      <c r="R80" t="s">
        <v>26</v>
      </c>
      <c r="S80" t="s">
        <v>26</v>
      </c>
    </row>
    <row r="81" spans="1:19" x14ac:dyDescent="0.3">
      <c r="A81" t="s">
        <v>162</v>
      </c>
      <c r="B81" s="9">
        <v>45589</v>
      </c>
      <c r="C81" t="s">
        <v>28</v>
      </c>
      <c r="D81" t="s">
        <v>87</v>
      </c>
      <c r="E81" t="s">
        <v>30</v>
      </c>
      <c r="F81">
        <v>26</v>
      </c>
      <c r="G81" s="12" t="str">
        <f t="shared" si="1"/>
        <v>25-29</v>
      </c>
      <c r="H81">
        <v>2</v>
      </c>
      <c r="I81">
        <v>0</v>
      </c>
      <c r="J81">
        <v>1</v>
      </c>
      <c r="K81" t="s">
        <v>22</v>
      </c>
      <c r="L81" t="s">
        <v>23</v>
      </c>
      <c r="M81">
        <v>3.84</v>
      </c>
      <c r="N81" t="s">
        <v>24</v>
      </c>
      <c r="O81" t="s">
        <v>25</v>
      </c>
      <c r="P81">
        <v>62136</v>
      </c>
      <c r="Q81">
        <v>3</v>
      </c>
      <c r="R81" t="s">
        <v>26</v>
      </c>
      <c r="S81" t="s">
        <v>26</v>
      </c>
    </row>
    <row r="82" spans="1:19" x14ac:dyDescent="0.3">
      <c r="A82" t="s">
        <v>163</v>
      </c>
      <c r="B82" s="9">
        <v>45729</v>
      </c>
      <c r="C82" t="s">
        <v>35</v>
      </c>
      <c r="D82" t="s">
        <v>87</v>
      </c>
      <c r="E82" t="s">
        <v>21</v>
      </c>
      <c r="F82">
        <v>21</v>
      </c>
      <c r="G82" s="12" t="str">
        <f t="shared" si="1"/>
        <v>18-24</v>
      </c>
      <c r="H82">
        <v>1</v>
      </c>
      <c r="I82">
        <v>0</v>
      </c>
      <c r="J82">
        <v>3</v>
      </c>
      <c r="K82" t="s">
        <v>38</v>
      </c>
      <c r="L82" t="s">
        <v>23</v>
      </c>
      <c r="M82">
        <v>3.1</v>
      </c>
      <c r="N82" t="s">
        <v>50</v>
      </c>
      <c r="O82" t="s">
        <v>25</v>
      </c>
      <c r="P82">
        <v>146174</v>
      </c>
      <c r="Q82">
        <v>3</v>
      </c>
      <c r="R82" t="s">
        <v>25</v>
      </c>
      <c r="S82" t="s">
        <v>26</v>
      </c>
    </row>
    <row r="83" spans="1:19" x14ac:dyDescent="0.3">
      <c r="A83" t="s">
        <v>164</v>
      </c>
      <c r="B83" s="9">
        <v>45608</v>
      </c>
      <c r="C83" t="s">
        <v>28</v>
      </c>
      <c r="D83" t="s">
        <v>78</v>
      </c>
      <c r="E83" t="s">
        <v>37</v>
      </c>
      <c r="F83">
        <v>32</v>
      </c>
      <c r="G83" s="12" t="str">
        <f t="shared" si="1"/>
        <v>30-34</v>
      </c>
      <c r="H83">
        <v>6</v>
      </c>
      <c r="I83">
        <v>1</v>
      </c>
      <c r="J83">
        <v>2</v>
      </c>
      <c r="K83" t="s">
        <v>38</v>
      </c>
      <c r="L83" t="s">
        <v>23</v>
      </c>
      <c r="M83">
        <v>3.02</v>
      </c>
      <c r="N83" t="s">
        <v>24</v>
      </c>
      <c r="O83" t="s">
        <v>25</v>
      </c>
      <c r="P83">
        <v>148007</v>
      </c>
      <c r="Q83">
        <v>4</v>
      </c>
      <c r="R83" t="s">
        <v>26</v>
      </c>
      <c r="S83" t="s">
        <v>26</v>
      </c>
    </row>
    <row r="84" spans="1:19" x14ac:dyDescent="0.3">
      <c r="A84" t="s">
        <v>166</v>
      </c>
      <c r="B84" s="9">
        <v>45846</v>
      </c>
      <c r="C84" t="s">
        <v>28</v>
      </c>
      <c r="D84" t="s">
        <v>124</v>
      </c>
      <c r="E84" t="s">
        <v>33</v>
      </c>
      <c r="F84">
        <v>32</v>
      </c>
      <c r="G84" s="12" t="str">
        <f t="shared" si="1"/>
        <v>30-34</v>
      </c>
      <c r="H84">
        <v>4</v>
      </c>
      <c r="I84">
        <v>0</v>
      </c>
      <c r="J84">
        <v>2</v>
      </c>
      <c r="K84" t="s">
        <v>22</v>
      </c>
      <c r="L84" t="s">
        <v>23</v>
      </c>
      <c r="M84">
        <v>2.2599999999999998</v>
      </c>
      <c r="N84" t="s">
        <v>24</v>
      </c>
      <c r="O84" t="s">
        <v>25</v>
      </c>
      <c r="P84">
        <v>96941</v>
      </c>
      <c r="Q84">
        <v>2</v>
      </c>
      <c r="R84" t="s">
        <v>25</v>
      </c>
      <c r="S84" t="s">
        <v>26</v>
      </c>
    </row>
    <row r="85" spans="1:19" x14ac:dyDescent="0.3">
      <c r="A85" t="s">
        <v>167</v>
      </c>
      <c r="B85" s="9">
        <v>45528</v>
      </c>
      <c r="C85" t="s">
        <v>59</v>
      </c>
      <c r="D85" t="s">
        <v>91</v>
      </c>
      <c r="E85" t="s">
        <v>30</v>
      </c>
      <c r="F85">
        <v>25</v>
      </c>
      <c r="G85" s="12" t="str">
        <f t="shared" si="1"/>
        <v>25-29</v>
      </c>
      <c r="H85">
        <v>5</v>
      </c>
      <c r="I85">
        <v>0</v>
      </c>
      <c r="J85">
        <v>8</v>
      </c>
      <c r="K85" t="s">
        <v>38</v>
      </c>
      <c r="L85" t="s">
        <v>23</v>
      </c>
      <c r="M85">
        <v>0.65</v>
      </c>
      <c r="N85" t="s">
        <v>24</v>
      </c>
      <c r="O85" t="s">
        <v>25</v>
      </c>
      <c r="P85">
        <v>174482</v>
      </c>
      <c r="Q85">
        <v>4</v>
      </c>
      <c r="R85" t="s">
        <v>26</v>
      </c>
      <c r="S85" t="s">
        <v>26</v>
      </c>
    </row>
    <row r="86" spans="1:19" x14ac:dyDescent="0.3">
      <c r="A86" t="s">
        <v>168</v>
      </c>
      <c r="B86" s="9">
        <v>45825</v>
      </c>
      <c r="C86" t="s">
        <v>28</v>
      </c>
      <c r="D86" t="s">
        <v>70</v>
      </c>
      <c r="E86" t="s">
        <v>30</v>
      </c>
      <c r="F86">
        <v>39</v>
      </c>
      <c r="G86" s="12" t="str">
        <f t="shared" si="1"/>
        <v>35-40</v>
      </c>
      <c r="H86">
        <v>7</v>
      </c>
      <c r="I86">
        <v>5</v>
      </c>
      <c r="J86">
        <v>8</v>
      </c>
      <c r="K86" t="s">
        <v>38</v>
      </c>
      <c r="L86" t="s">
        <v>23</v>
      </c>
      <c r="M86">
        <v>2.96</v>
      </c>
      <c r="N86" t="s">
        <v>94</v>
      </c>
      <c r="O86" t="s">
        <v>25</v>
      </c>
      <c r="P86">
        <v>169289</v>
      </c>
      <c r="Q86">
        <v>4</v>
      </c>
      <c r="R86" t="s">
        <v>26</v>
      </c>
      <c r="S86" t="s">
        <v>26</v>
      </c>
    </row>
    <row r="87" spans="1:19" x14ac:dyDescent="0.3">
      <c r="A87" t="s">
        <v>169</v>
      </c>
      <c r="B87" s="9">
        <v>45712</v>
      </c>
      <c r="C87" t="s">
        <v>59</v>
      </c>
      <c r="D87" t="s">
        <v>49</v>
      </c>
      <c r="E87" t="s">
        <v>75</v>
      </c>
      <c r="F87">
        <v>34</v>
      </c>
      <c r="G87" s="12" t="str">
        <f t="shared" si="1"/>
        <v>30-34</v>
      </c>
      <c r="H87">
        <v>2</v>
      </c>
      <c r="I87">
        <v>2</v>
      </c>
      <c r="J87">
        <v>3</v>
      </c>
      <c r="K87" t="s">
        <v>22</v>
      </c>
      <c r="L87" t="s">
        <v>23</v>
      </c>
      <c r="M87">
        <v>3.48</v>
      </c>
      <c r="N87" t="s">
        <v>171</v>
      </c>
      <c r="O87" t="s">
        <v>25</v>
      </c>
      <c r="P87">
        <v>91460</v>
      </c>
      <c r="Q87">
        <v>1</v>
      </c>
      <c r="R87" t="s">
        <v>25</v>
      </c>
      <c r="S87" t="s">
        <v>26</v>
      </c>
    </row>
    <row r="88" spans="1:19" x14ac:dyDescent="0.3">
      <c r="A88" t="s">
        <v>172</v>
      </c>
      <c r="B88" s="9">
        <v>45857</v>
      </c>
      <c r="C88" t="s">
        <v>35</v>
      </c>
      <c r="D88" t="s">
        <v>40</v>
      </c>
      <c r="E88" t="s">
        <v>21</v>
      </c>
      <c r="F88">
        <v>23</v>
      </c>
      <c r="G88" s="12" t="str">
        <f t="shared" si="1"/>
        <v>18-24</v>
      </c>
      <c r="H88">
        <v>7</v>
      </c>
      <c r="I88">
        <v>1</v>
      </c>
      <c r="K88" t="s">
        <v>22</v>
      </c>
      <c r="L88" t="s">
        <v>23</v>
      </c>
      <c r="M88">
        <v>2.95</v>
      </c>
      <c r="N88" t="s">
        <v>24</v>
      </c>
      <c r="O88" t="s">
        <v>25</v>
      </c>
      <c r="P88">
        <v>82938</v>
      </c>
      <c r="Q88">
        <v>4</v>
      </c>
      <c r="R88" t="s">
        <v>25</v>
      </c>
      <c r="S88" t="s">
        <v>25</v>
      </c>
    </row>
    <row r="89" spans="1:19" x14ac:dyDescent="0.3">
      <c r="A89" t="s">
        <v>173</v>
      </c>
      <c r="B89" s="9">
        <v>45295</v>
      </c>
      <c r="C89" t="s">
        <v>59</v>
      </c>
      <c r="D89" t="s">
        <v>91</v>
      </c>
      <c r="E89" t="s">
        <v>30</v>
      </c>
      <c r="F89">
        <v>29</v>
      </c>
      <c r="G89" s="12" t="str">
        <f t="shared" si="1"/>
        <v>25-29</v>
      </c>
      <c r="H89">
        <v>3</v>
      </c>
      <c r="I89">
        <v>2</v>
      </c>
      <c r="J89">
        <v>8</v>
      </c>
      <c r="K89" t="s">
        <v>22</v>
      </c>
      <c r="L89" t="s">
        <v>42</v>
      </c>
      <c r="M89">
        <v>2.34</v>
      </c>
      <c r="N89" t="s">
        <v>24</v>
      </c>
      <c r="O89" t="s">
        <v>25</v>
      </c>
      <c r="P89">
        <v>22415</v>
      </c>
      <c r="Q89">
        <v>1</v>
      </c>
      <c r="R89" t="s">
        <v>25</v>
      </c>
      <c r="S89" t="s">
        <v>26</v>
      </c>
    </row>
    <row r="90" spans="1:19" x14ac:dyDescent="0.3">
      <c r="A90" t="s">
        <v>174</v>
      </c>
      <c r="B90" s="9">
        <v>45346</v>
      </c>
      <c r="C90" t="s">
        <v>28</v>
      </c>
      <c r="D90" t="s">
        <v>29</v>
      </c>
      <c r="E90" t="s">
        <v>54</v>
      </c>
      <c r="F90">
        <v>30</v>
      </c>
      <c r="G90" s="12" t="str">
        <f t="shared" si="1"/>
        <v>30-34</v>
      </c>
      <c r="H90">
        <v>4</v>
      </c>
      <c r="I90">
        <v>0</v>
      </c>
      <c r="J90">
        <v>4</v>
      </c>
      <c r="K90" t="s">
        <v>22</v>
      </c>
      <c r="L90" t="s">
        <v>23</v>
      </c>
      <c r="M90">
        <v>1.96</v>
      </c>
      <c r="N90" t="s">
        <v>94</v>
      </c>
      <c r="O90" t="s">
        <v>25</v>
      </c>
      <c r="P90">
        <v>62771</v>
      </c>
      <c r="Q90">
        <v>1</v>
      </c>
      <c r="R90" t="s">
        <v>25</v>
      </c>
      <c r="S90" t="s">
        <v>26</v>
      </c>
    </row>
    <row r="91" spans="1:19" x14ac:dyDescent="0.3">
      <c r="A91" t="s">
        <v>175</v>
      </c>
      <c r="B91" s="9">
        <v>45539</v>
      </c>
      <c r="C91" t="s">
        <v>35</v>
      </c>
      <c r="D91" t="s">
        <v>45</v>
      </c>
      <c r="E91" t="s">
        <v>30</v>
      </c>
      <c r="F91">
        <v>32</v>
      </c>
      <c r="G91" s="12" t="str">
        <f t="shared" si="1"/>
        <v>30-34</v>
      </c>
      <c r="H91">
        <v>3</v>
      </c>
      <c r="I91">
        <v>3</v>
      </c>
      <c r="J91">
        <v>5</v>
      </c>
      <c r="K91" t="s">
        <v>38</v>
      </c>
      <c r="L91" t="s">
        <v>23</v>
      </c>
      <c r="M91">
        <v>2.58</v>
      </c>
      <c r="N91" t="s">
        <v>24</v>
      </c>
      <c r="O91" t="s">
        <v>25</v>
      </c>
      <c r="P91">
        <v>132153</v>
      </c>
      <c r="Q91">
        <v>2</v>
      </c>
      <c r="R91" t="s">
        <v>25</v>
      </c>
      <c r="S91" t="s">
        <v>26</v>
      </c>
    </row>
    <row r="92" spans="1:19" x14ac:dyDescent="0.3">
      <c r="A92" t="s">
        <v>177</v>
      </c>
      <c r="B92" s="9">
        <v>45766</v>
      </c>
      <c r="C92" t="s">
        <v>52</v>
      </c>
      <c r="D92" t="s">
        <v>87</v>
      </c>
      <c r="E92" t="s">
        <v>21</v>
      </c>
      <c r="F92">
        <v>28</v>
      </c>
      <c r="G92" s="12" t="str">
        <f t="shared" si="1"/>
        <v>25-29</v>
      </c>
      <c r="H92">
        <v>5</v>
      </c>
      <c r="I92">
        <v>0</v>
      </c>
      <c r="K92" t="s">
        <v>22</v>
      </c>
      <c r="L92" t="s">
        <v>23</v>
      </c>
      <c r="M92">
        <v>2.56</v>
      </c>
      <c r="N92" t="s">
        <v>171</v>
      </c>
      <c r="O92" t="s">
        <v>25</v>
      </c>
      <c r="P92">
        <v>77601</v>
      </c>
      <c r="Q92">
        <v>1</v>
      </c>
      <c r="R92" t="s">
        <v>25</v>
      </c>
      <c r="S92" t="s">
        <v>26</v>
      </c>
    </row>
    <row r="93" spans="1:19" x14ac:dyDescent="0.3">
      <c r="A93" t="s">
        <v>178</v>
      </c>
      <c r="B93" s="9">
        <v>45543</v>
      </c>
      <c r="C93" t="s">
        <v>52</v>
      </c>
      <c r="D93" t="s">
        <v>64</v>
      </c>
      <c r="E93" t="s">
        <v>33</v>
      </c>
      <c r="F93">
        <v>25</v>
      </c>
      <c r="G93" s="12" t="str">
        <f t="shared" si="1"/>
        <v>25-29</v>
      </c>
      <c r="H93">
        <v>6</v>
      </c>
      <c r="I93">
        <v>2</v>
      </c>
      <c r="J93">
        <v>4</v>
      </c>
      <c r="K93" t="s">
        <v>22</v>
      </c>
      <c r="L93" t="s">
        <v>23</v>
      </c>
      <c r="M93">
        <v>2.5299999999999998</v>
      </c>
      <c r="N93" t="s">
        <v>102</v>
      </c>
      <c r="O93" t="s">
        <v>25</v>
      </c>
      <c r="P93">
        <v>51158</v>
      </c>
      <c r="Q93">
        <v>1</v>
      </c>
      <c r="R93" t="s">
        <v>25</v>
      </c>
      <c r="S93" t="s">
        <v>26</v>
      </c>
    </row>
    <row r="94" spans="1:19" x14ac:dyDescent="0.3">
      <c r="A94" t="s">
        <v>179</v>
      </c>
      <c r="B94" s="9">
        <v>45576</v>
      </c>
      <c r="C94" t="s">
        <v>28</v>
      </c>
      <c r="D94" t="s">
        <v>78</v>
      </c>
      <c r="E94" t="s">
        <v>33</v>
      </c>
      <c r="F94">
        <v>38</v>
      </c>
      <c r="G94" s="12" t="str">
        <f t="shared" si="1"/>
        <v>35-40</v>
      </c>
      <c r="H94">
        <v>4</v>
      </c>
      <c r="I94">
        <v>1</v>
      </c>
      <c r="J94">
        <v>5</v>
      </c>
      <c r="K94" t="s">
        <v>38</v>
      </c>
      <c r="L94" t="s">
        <v>23</v>
      </c>
      <c r="M94">
        <v>2.72</v>
      </c>
      <c r="N94" t="s">
        <v>102</v>
      </c>
      <c r="O94" t="s">
        <v>25</v>
      </c>
      <c r="P94">
        <v>150349</v>
      </c>
      <c r="Q94">
        <v>3</v>
      </c>
      <c r="R94" t="s">
        <v>25</v>
      </c>
      <c r="S94" t="s">
        <v>26</v>
      </c>
    </row>
    <row r="95" spans="1:19" x14ac:dyDescent="0.3">
      <c r="A95" t="s">
        <v>180</v>
      </c>
      <c r="B95" s="9">
        <v>45795</v>
      </c>
      <c r="C95" t="s">
        <v>35</v>
      </c>
      <c r="D95" t="s">
        <v>36</v>
      </c>
      <c r="E95" t="s">
        <v>54</v>
      </c>
      <c r="F95">
        <v>27</v>
      </c>
      <c r="G95" s="12" t="str">
        <f t="shared" si="1"/>
        <v>25-29</v>
      </c>
      <c r="H95">
        <v>7</v>
      </c>
      <c r="I95">
        <v>0</v>
      </c>
      <c r="J95">
        <v>6</v>
      </c>
      <c r="K95" t="s">
        <v>22</v>
      </c>
      <c r="L95" t="s">
        <v>23</v>
      </c>
      <c r="M95">
        <v>3.52</v>
      </c>
      <c r="N95" t="s">
        <v>24</v>
      </c>
      <c r="O95" t="s">
        <v>25</v>
      </c>
      <c r="P95">
        <v>51737</v>
      </c>
      <c r="Q95">
        <v>1</v>
      </c>
      <c r="R95" t="s">
        <v>25</v>
      </c>
      <c r="S95" t="s">
        <v>26</v>
      </c>
    </row>
    <row r="96" spans="1:19" x14ac:dyDescent="0.3">
      <c r="A96" t="s">
        <v>181</v>
      </c>
      <c r="B96" s="9">
        <v>45487</v>
      </c>
      <c r="C96" t="s">
        <v>59</v>
      </c>
      <c r="D96" t="s">
        <v>60</v>
      </c>
      <c r="E96" t="s">
        <v>30</v>
      </c>
      <c r="F96">
        <v>27</v>
      </c>
      <c r="G96" s="12" t="str">
        <f t="shared" si="1"/>
        <v>25-29</v>
      </c>
      <c r="H96">
        <v>3</v>
      </c>
      <c r="I96">
        <v>2</v>
      </c>
      <c r="J96">
        <v>0</v>
      </c>
      <c r="K96" t="s">
        <v>22</v>
      </c>
      <c r="L96" t="s">
        <v>23</v>
      </c>
      <c r="M96">
        <v>2.27</v>
      </c>
      <c r="N96" t="s">
        <v>24</v>
      </c>
      <c r="O96" t="s">
        <v>25</v>
      </c>
      <c r="P96">
        <v>99171</v>
      </c>
      <c r="Q96">
        <v>4</v>
      </c>
      <c r="R96" t="s">
        <v>25</v>
      </c>
      <c r="S96" t="s">
        <v>25</v>
      </c>
    </row>
    <row r="97" spans="1:19" x14ac:dyDescent="0.3">
      <c r="A97" t="s">
        <v>182</v>
      </c>
      <c r="B97" s="9">
        <v>45973</v>
      </c>
      <c r="C97" t="s">
        <v>52</v>
      </c>
      <c r="D97" t="s">
        <v>64</v>
      </c>
      <c r="E97" t="s">
        <v>30</v>
      </c>
      <c r="F97">
        <v>27</v>
      </c>
      <c r="G97" s="12" t="str">
        <f t="shared" si="1"/>
        <v>25-29</v>
      </c>
      <c r="H97">
        <v>2</v>
      </c>
      <c r="I97">
        <v>1</v>
      </c>
      <c r="J97">
        <v>6</v>
      </c>
      <c r="K97" t="s">
        <v>22</v>
      </c>
      <c r="L97" t="s">
        <v>23</v>
      </c>
      <c r="M97">
        <v>3.27</v>
      </c>
      <c r="N97" t="s">
        <v>50</v>
      </c>
      <c r="O97" t="s">
        <v>25</v>
      </c>
      <c r="P97">
        <v>141972</v>
      </c>
      <c r="Q97">
        <v>3</v>
      </c>
      <c r="R97" t="s">
        <v>25</v>
      </c>
      <c r="S97" t="s">
        <v>26</v>
      </c>
    </row>
    <row r="98" spans="1:19" x14ac:dyDescent="0.3">
      <c r="A98" t="s">
        <v>183</v>
      </c>
      <c r="B98" s="9">
        <v>45744</v>
      </c>
      <c r="C98" t="s">
        <v>52</v>
      </c>
      <c r="D98" t="s">
        <v>64</v>
      </c>
      <c r="E98" t="s">
        <v>21</v>
      </c>
      <c r="F98">
        <v>28</v>
      </c>
      <c r="G98" s="12" t="str">
        <f t="shared" si="1"/>
        <v>25-29</v>
      </c>
      <c r="H98">
        <v>1</v>
      </c>
      <c r="I98">
        <v>0</v>
      </c>
      <c r="J98">
        <v>3</v>
      </c>
      <c r="K98" t="s">
        <v>22</v>
      </c>
      <c r="L98" t="s">
        <v>23</v>
      </c>
      <c r="M98">
        <v>2.2200000000000002</v>
      </c>
      <c r="N98" t="s">
        <v>102</v>
      </c>
      <c r="O98" t="s">
        <v>25</v>
      </c>
      <c r="P98">
        <v>70086</v>
      </c>
      <c r="Q98">
        <v>1</v>
      </c>
      <c r="R98" t="s">
        <v>25</v>
      </c>
      <c r="S98" t="s">
        <v>26</v>
      </c>
    </row>
    <row r="99" spans="1:19" x14ac:dyDescent="0.3">
      <c r="A99" t="s">
        <v>184</v>
      </c>
      <c r="B99" s="9">
        <v>45565</v>
      </c>
      <c r="C99" t="s">
        <v>28</v>
      </c>
      <c r="D99" t="s">
        <v>29</v>
      </c>
      <c r="E99" t="s">
        <v>75</v>
      </c>
      <c r="F99">
        <v>21</v>
      </c>
      <c r="G99" s="12" t="str">
        <f t="shared" si="1"/>
        <v>18-24</v>
      </c>
      <c r="H99">
        <v>1</v>
      </c>
      <c r="I99">
        <v>0</v>
      </c>
      <c r="J99">
        <v>3</v>
      </c>
      <c r="K99" t="s">
        <v>22</v>
      </c>
      <c r="L99" t="s">
        <v>23</v>
      </c>
      <c r="M99">
        <v>2.5099999999999998</v>
      </c>
      <c r="N99" t="s">
        <v>24</v>
      </c>
      <c r="O99" t="s">
        <v>25</v>
      </c>
      <c r="P99">
        <v>107178</v>
      </c>
      <c r="Q99">
        <v>3</v>
      </c>
      <c r="R99" t="s">
        <v>25</v>
      </c>
      <c r="S99" t="s">
        <v>26</v>
      </c>
    </row>
    <row r="100" spans="1:19" x14ac:dyDescent="0.3">
      <c r="A100" t="s">
        <v>185</v>
      </c>
      <c r="B100" s="9">
        <v>45618</v>
      </c>
      <c r="C100" t="s">
        <v>28</v>
      </c>
      <c r="D100" t="s">
        <v>29</v>
      </c>
      <c r="E100" t="s">
        <v>30</v>
      </c>
      <c r="F100">
        <v>28</v>
      </c>
      <c r="G100" s="12" t="str">
        <f t="shared" si="1"/>
        <v>25-29</v>
      </c>
      <c r="H100">
        <v>6</v>
      </c>
      <c r="I100">
        <v>0</v>
      </c>
      <c r="J100">
        <v>7</v>
      </c>
      <c r="K100" t="s">
        <v>38</v>
      </c>
      <c r="L100" t="s">
        <v>23</v>
      </c>
      <c r="M100">
        <v>3.14</v>
      </c>
      <c r="N100" t="s">
        <v>102</v>
      </c>
      <c r="O100" t="s">
        <v>25</v>
      </c>
      <c r="P100">
        <v>123467</v>
      </c>
      <c r="Q100">
        <v>6</v>
      </c>
      <c r="R100" t="s">
        <v>25</v>
      </c>
      <c r="S100" t="s">
        <v>26</v>
      </c>
    </row>
    <row r="101" spans="1:19" x14ac:dyDescent="0.3">
      <c r="A101" t="s">
        <v>187</v>
      </c>
      <c r="B101" s="9">
        <v>45386</v>
      </c>
      <c r="C101" t="s">
        <v>59</v>
      </c>
      <c r="D101" t="s">
        <v>91</v>
      </c>
      <c r="E101" t="s">
        <v>33</v>
      </c>
      <c r="F101">
        <v>31</v>
      </c>
      <c r="G101" s="12" t="str">
        <f t="shared" si="1"/>
        <v>30-34</v>
      </c>
      <c r="H101">
        <v>5</v>
      </c>
      <c r="I101">
        <v>0</v>
      </c>
      <c r="J101">
        <v>2</v>
      </c>
      <c r="K101" t="s">
        <v>22</v>
      </c>
      <c r="L101" t="s">
        <v>23</v>
      </c>
      <c r="M101">
        <v>3</v>
      </c>
      <c r="N101" t="s">
        <v>24</v>
      </c>
      <c r="O101" t="s">
        <v>25</v>
      </c>
      <c r="P101">
        <v>43109</v>
      </c>
      <c r="Q101">
        <v>1</v>
      </c>
      <c r="R101" t="s">
        <v>188</v>
      </c>
      <c r="S101" t="s">
        <v>26</v>
      </c>
    </row>
    <row r="102" spans="1:19" x14ac:dyDescent="0.3">
      <c r="A102" t="s">
        <v>189</v>
      </c>
      <c r="B102" s="9">
        <v>45594</v>
      </c>
      <c r="C102" t="s">
        <v>19</v>
      </c>
      <c r="D102" t="s">
        <v>20</v>
      </c>
      <c r="E102" t="s">
        <v>75</v>
      </c>
      <c r="F102">
        <v>33</v>
      </c>
      <c r="G102" s="12" t="str">
        <f t="shared" si="1"/>
        <v>30-34</v>
      </c>
      <c r="H102">
        <v>4</v>
      </c>
      <c r="I102">
        <v>1</v>
      </c>
      <c r="J102">
        <v>8</v>
      </c>
      <c r="K102" t="s">
        <v>38</v>
      </c>
      <c r="L102" t="s">
        <v>23</v>
      </c>
      <c r="M102">
        <v>2.33</v>
      </c>
      <c r="N102" t="s">
        <v>24</v>
      </c>
      <c r="O102" t="s">
        <v>25</v>
      </c>
      <c r="P102">
        <v>159074</v>
      </c>
      <c r="Q102">
        <v>3</v>
      </c>
      <c r="R102" t="s">
        <v>25</v>
      </c>
      <c r="S102" t="s">
        <v>26</v>
      </c>
    </row>
    <row r="103" spans="1:19" x14ac:dyDescent="0.3">
      <c r="A103" t="s">
        <v>190</v>
      </c>
      <c r="B103" s="9">
        <v>45685</v>
      </c>
      <c r="C103" t="s">
        <v>35</v>
      </c>
      <c r="D103" t="s">
        <v>121</v>
      </c>
      <c r="E103" t="s">
        <v>37</v>
      </c>
      <c r="F103">
        <v>26</v>
      </c>
      <c r="G103" s="12" t="str">
        <f t="shared" si="1"/>
        <v>25-29</v>
      </c>
      <c r="H103">
        <v>2</v>
      </c>
      <c r="I103">
        <v>0</v>
      </c>
      <c r="J103">
        <v>3</v>
      </c>
      <c r="K103" t="s">
        <v>22</v>
      </c>
      <c r="L103" t="s">
        <v>23</v>
      </c>
      <c r="M103">
        <v>2.62</v>
      </c>
      <c r="N103" t="s">
        <v>88</v>
      </c>
      <c r="O103" t="s">
        <v>25</v>
      </c>
      <c r="P103">
        <v>66213</v>
      </c>
      <c r="Q103">
        <v>1</v>
      </c>
      <c r="R103" t="s">
        <v>26</v>
      </c>
      <c r="S103" t="s">
        <v>26</v>
      </c>
    </row>
    <row r="104" spans="1:19" x14ac:dyDescent="0.3">
      <c r="A104" t="s">
        <v>192</v>
      </c>
      <c r="B104" s="9">
        <v>45770</v>
      </c>
      <c r="C104" t="s">
        <v>52</v>
      </c>
      <c r="D104" t="s">
        <v>64</v>
      </c>
      <c r="E104" t="s">
        <v>75</v>
      </c>
      <c r="F104">
        <v>30</v>
      </c>
      <c r="G104" s="12" t="str">
        <f t="shared" si="1"/>
        <v>30-34</v>
      </c>
      <c r="H104">
        <v>5</v>
      </c>
      <c r="I104">
        <v>1</v>
      </c>
      <c r="J104">
        <v>4</v>
      </c>
      <c r="K104" t="s">
        <v>22</v>
      </c>
      <c r="L104" t="s">
        <v>23</v>
      </c>
      <c r="M104">
        <v>2.97</v>
      </c>
      <c r="N104" t="s">
        <v>24</v>
      </c>
      <c r="O104" t="s">
        <v>25</v>
      </c>
      <c r="P104">
        <v>42310</v>
      </c>
      <c r="Q104">
        <v>1</v>
      </c>
      <c r="R104" t="s">
        <v>25</v>
      </c>
      <c r="S104" t="s">
        <v>26</v>
      </c>
    </row>
    <row r="105" spans="1:19" x14ac:dyDescent="0.3">
      <c r="A105" t="s">
        <v>193</v>
      </c>
      <c r="B105" s="9">
        <v>46000</v>
      </c>
      <c r="C105" t="s">
        <v>28</v>
      </c>
      <c r="D105" t="s">
        <v>78</v>
      </c>
      <c r="E105" t="s">
        <v>75</v>
      </c>
      <c r="F105">
        <v>32</v>
      </c>
      <c r="G105" s="12" t="str">
        <f t="shared" si="1"/>
        <v>30-34</v>
      </c>
      <c r="H105">
        <v>1</v>
      </c>
      <c r="I105">
        <v>1</v>
      </c>
      <c r="J105">
        <v>6</v>
      </c>
      <c r="K105" t="s">
        <v>38</v>
      </c>
      <c r="L105" t="s">
        <v>55</v>
      </c>
      <c r="M105">
        <v>2.56</v>
      </c>
      <c r="N105" t="s">
        <v>24</v>
      </c>
      <c r="O105" t="s">
        <v>25</v>
      </c>
      <c r="P105">
        <v>147483</v>
      </c>
      <c r="Q105">
        <v>5</v>
      </c>
      <c r="R105" t="s">
        <v>25</v>
      </c>
      <c r="S105" t="s">
        <v>26</v>
      </c>
    </row>
    <row r="106" spans="1:19" x14ac:dyDescent="0.3">
      <c r="A106" t="s">
        <v>194</v>
      </c>
      <c r="B106" s="9">
        <v>45596</v>
      </c>
      <c r="C106" t="s">
        <v>59</v>
      </c>
      <c r="D106" t="s">
        <v>49</v>
      </c>
      <c r="E106" t="s">
        <v>30</v>
      </c>
      <c r="F106">
        <v>20</v>
      </c>
      <c r="G106" s="12" t="str">
        <f t="shared" si="1"/>
        <v>18-24</v>
      </c>
      <c r="H106">
        <v>2</v>
      </c>
      <c r="I106">
        <v>1</v>
      </c>
      <c r="J106">
        <v>6</v>
      </c>
      <c r="K106" t="s">
        <v>38</v>
      </c>
      <c r="L106" t="s">
        <v>23</v>
      </c>
      <c r="M106">
        <v>2.74</v>
      </c>
      <c r="N106" t="s">
        <v>24</v>
      </c>
      <c r="O106" t="s">
        <v>25</v>
      </c>
      <c r="P106">
        <v>159264</v>
      </c>
      <c r="Q106">
        <v>2</v>
      </c>
      <c r="R106" t="s">
        <v>25</v>
      </c>
      <c r="S106" t="s">
        <v>26</v>
      </c>
    </row>
    <row r="107" spans="1:19" x14ac:dyDescent="0.3">
      <c r="A107" t="s">
        <v>195</v>
      </c>
      <c r="B107" s="9">
        <v>45344</v>
      </c>
      <c r="C107" t="s">
        <v>35</v>
      </c>
      <c r="D107" t="s">
        <v>40</v>
      </c>
      <c r="E107" t="s">
        <v>37</v>
      </c>
      <c r="F107">
        <v>19</v>
      </c>
      <c r="G107" s="12" t="str">
        <f t="shared" si="1"/>
        <v>18-24</v>
      </c>
      <c r="H107">
        <v>7</v>
      </c>
      <c r="I107">
        <v>5</v>
      </c>
      <c r="J107">
        <v>1</v>
      </c>
      <c r="K107" t="s">
        <v>22</v>
      </c>
      <c r="L107" t="s">
        <v>23</v>
      </c>
      <c r="M107">
        <v>3.13</v>
      </c>
      <c r="N107" t="s">
        <v>102</v>
      </c>
      <c r="O107" t="s">
        <v>25</v>
      </c>
      <c r="P107">
        <v>71493</v>
      </c>
      <c r="Q107">
        <v>1</v>
      </c>
      <c r="R107" t="s">
        <v>25</v>
      </c>
      <c r="S107" t="s">
        <v>26</v>
      </c>
    </row>
    <row r="108" spans="1:19" x14ac:dyDescent="0.3">
      <c r="A108" t="s">
        <v>196</v>
      </c>
      <c r="B108" s="9">
        <v>45969</v>
      </c>
      <c r="C108" t="s">
        <v>59</v>
      </c>
      <c r="D108" t="s">
        <v>49</v>
      </c>
      <c r="E108" t="s">
        <v>30</v>
      </c>
      <c r="F108">
        <v>32</v>
      </c>
      <c r="G108" s="12" t="str">
        <f t="shared" si="1"/>
        <v>30-34</v>
      </c>
      <c r="H108">
        <v>7</v>
      </c>
      <c r="I108">
        <v>1</v>
      </c>
      <c r="J108">
        <v>1</v>
      </c>
      <c r="K108" t="s">
        <v>22</v>
      </c>
      <c r="L108" t="s">
        <v>23</v>
      </c>
      <c r="M108">
        <v>3.06</v>
      </c>
      <c r="N108" t="s">
        <v>50</v>
      </c>
      <c r="O108" t="s">
        <v>25</v>
      </c>
      <c r="P108">
        <v>34724</v>
      </c>
      <c r="Q108">
        <v>1</v>
      </c>
      <c r="R108" t="s">
        <v>25</v>
      </c>
      <c r="S108" t="s">
        <v>26</v>
      </c>
    </row>
    <row r="109" spans="1:19" x14ac:dyDescent="0.3">
      <c r="A109" t="s">
        <v>197</v>
      </c>
      <c r="B109" s="9">
        <v>45428</v>
      </c>
      <c r="C109" t="s">
        <v>52</v>
      </c>
      <c r="D109" t="s">
        <v>129</v>
      </c>
      <c r="E109" t="s">
        <v>21</v>
      </c>
      <c r="F109">
        <v>29</v>
      </c>
      <c r="G109" s="12" t="str">
        <f t="shared" si="1"/>
        <v>25-29</v>
      </c>
      <c r="H109">
        <v>6</v>
      </c>
      <c r="I109">
        <v>5</v>
      </c>
      <c r="J109">
        <v>3</v>
      </c>
      <c r="K109" t="s">
        <v>22</v>
      </c>
      <c r="L109" t="s">
        <v>23</v>
      </c>
      <c r="M109">
        <v>2.89</v>
      </c>
      <c r="N109" t="s">
        <v>24</v>
      </c>
      <c r="O109" t="s">
        <v>25</v>
      </c>
      <c r="P109">
        <v>90157</v>
      </c>
      <c r="Q109">
        <v>1</v>
      </c>
      <c r="R109" t="s">
        <v>25</v>
      </c>
      <c r="S109" t="s">
        <v>26</v>
      </c>
    </row>
    <row r="110" spans="1:19" x14ac:dyDescent="0.3">
      <c r="A110" t="s">
        <v>198</v>
      </c>
      <c r="B110" s="9">
        <v>45837</v>
      </c>
      <c r="C110" t="s">
        <v>35</v>
      </c>
      <c r="D110" t="s">
        <v>36</v>
      </c>
      <c r="E110" t="s">
        <v>37</v>
      </c>
      <c r="F110">
        <v>33</v>
      </c>
      <c r="G110" s="12" t="str">
        <f t="shared" si="1"/>
        <v>30-34</v>
      </c>
      <c r="H110">
        <v>6</v>
      </c>
      <c r="I110">
        <v>3</v>
      </c>
      <c r="J110">
        <v>2</v>
      </c>
      <c r="K110" t="s">
        <v>22</v>
      </c>
      <c r="L110" t="s">
        <v>23</v>
      </c>
      <c r="M110">
        <v>3.39</v>
      </c>
      <c r="N110" t="s">
        <v>24</v>
      </c>
      <c r="O110" t="s">
        <v>25</v>
      </c>
      <c r="P110">
        <v>101039</v>
      </c>
      <c r="Q110">
        <v>1</v>
      </c>
      <c r="R110" t="s">
        <v>25</v>
      </c>
      <c r="S110" t="s">
        <v>26</v>
      </c>
    </row>
    <row r="111" spans="1:19" x14ac:dyDescent="0.3">
      <c r="A111" t="s">
        <v>199</v>
      </c>
      <c r="B111" s="9">
        <v>45773</v>
      </c>
      <c r="C111" t="s">
        <v>35</v>
      </c>
      <c r="D111" t="s">
        <v>45</v>
      </c>
      <c r="E111" t="s">
        <v>21</v>
      </c>
      <c r="F111">
        <v>25</v>
      </c>
      <c r="G111" s="12" t="str">
        <f t="shared" si="1"/>
        <v>25-29</v>
      </c>
      <c r="H111">
        <v>3</v>
      </c>
      <c r="I111">
        <v>3</v>
      </c>
      <c r="J111">
        <v>6</v>
      </c>
      <c r="K111" t="s">
        <v>38</v>
      </c>
      <c r="L111" t="s">
        <v>23</v>
      </c>
      <c r="M111">
        <v>2.99</v>
      </c>
      <c r="N111" t="s">
        <v>102</v>
      </c>
      <c r="O111" t="s">
        <v>25</v>
      </c>
      <c r="P111">
        <v>154278</v>
      </c>
      <c r="Q111">
        <v>3</v>
      </c>
      <c r="R111" t="s">
        <v>25</v>
      </c>
      <c r="S111" t="s">
        <v>26</v>
      </c>
    </row>
    <row r="112" spans="1:19" x14ac:dyDescent="0.3">
      <c r="A112" t="s">
        <v>200</v>
      </c>
      <c r="B112" s="9">
        <v>45668</v>
      </c>
      <c r="C112" t="s">
        <v>52</v>
      </c>
      <c r="D112" t="s">
        <v>111</v>
      </c>
      <c r="E112" t="s">
        <v>21</v>
      </c>
      <c r="F112">
        <v>29</v>
      </c>
      <c r="G112" s="12" t="str">
        <f t="shared" si="1"/>
        <v>25-29</v>
      </c>
      <c r="H112">
        <v>7</v>
      </c>
      <c r="I112">
        <v>5</v>
      </c>
      <c r="J112">
        <v>4</v>
      </c>
      <c r="K112" t="s">
        <v>38</v>
      </c>
      <c r="L112" t="s">
        <v>42</v>
      </c>
      <c r="M112">
        <v>3.74</v>
      </c>
      <c r="N112" t="s">
        <v>171</v>
      </c>
      <c r="O112" t="s">
        <v>25</v>
      </c>
      <c r="P112">
        <v>151360</v>
      </c>
      <c r="Q112">
        <v>4</v>
      </c>
      <c r="R112" t="s">
        <v>25</v>
      </c>
      <c r="S112" t="s">
        <v>26</v>
      </c>
    </row>
    <row r="113" spans="1:19" x14ac:dyDescent="0.3">
      <c r="A113" t="s">
        <v>201</v>
      </c>
      <c r="B113" s="9">
        <v>45674</v>
      </c>
      <c r="C113" t="s">
        <v>59</v>
      </c>
      <c r="D113" t="s">
        <v>91</v>
      </c>
      <c r="E113" t="s">
        <v>21</v>
      </c>
      <c r="F113">
        <v>26</v>
      </c>
      <c r="G113" s="12" t="str">
        <f t="shared" si="1"/>
        <v>25-29</v>
      </c>
      <c r="H113">
        <v>3</v>
      </c>
      <c r="I113">
        <v>0</v>
      </c>
      <c r="J113">
        <v>4</v>
      </c>
      <c r="K113" t="s">
        <v>22</v>
      </c>
      <c r="L113" t="s">
        <v>23</v>
      </c>
      <c r="M113">
        <v>2.86</v>
      </c>
      <c r="N113" t="s">
        <v>50</v>
      </c>
      <c r="O113" t="s">
        <v>25</v>
      </c>
      <c r="P113">
        <v>74861</v>
      </c>
      <c r="Q113">
        <v>1</v>
      </c>
      <c r="R113" t="s">
        <v>25</v>
      </c>
      <c r="S113" t="s">
        <v>26</v>
      </c>
    </row>
    <row r="114" spans="1:19" x14ac:dyDescent="0.3">
      <c r="A114" t="s">
        <v>202</v>
      </c>
      <c r="B114" s="9">
        <v>46011</v>
      </c>
      <c r="C114" t="s">
        <v>52</v>
      </c>
      <c r="D114" t="s">
        <v>64</v>
      </c>
      <c r="E114" t="s">
        <v>75</v>
      </c>
      <c r="F114">
        <v>30</v>
      </c>
      <c r="G114" s="12" t="str">
        <f t="shared" si="1"/>
        <v>30-34</v>
      </c>
      <c r="H114">
        <v>1</v>
      </c>
      <c r="I114">
        <v>1</v>
      </c>
      <c r="J114">
        <v>9</v>
      </c>
      <c r="K114" t="s">
        <v>38</v>
      </c>
      <c r="L114" t="s">
        <v>23</v>
      </c>
      <c r="M114">
        <v>3.58</v>
      </c>
      <c r="N114" t="s">
        <v>24</v>
      </c>
      <c r="O114" t="s">
        <v>25</v>
      </c>
      <c r="P114">
        <v>136849</v>
      </c>
      <c r="Q114">
        <v>5</v>
      </c>
      <c r="R114" t="s">
        <v>25</v>
      </c>
      <c r="S114" t="s">
        <v>26</v>
      </c>
    </row>
    <row r="115" spans="1:19" x14ac:dyDescent="0.3">
      <c r="A115" t="s">
        <v>203</v>
      </c>
      <c r="B115" s="9">
        <v>45844</v>
      </c>
      <c r="C115" t="s">
        <v>59</v>
      </c>
      <c r="D115" t="s">
        <v>91</v>
      </c>
      <c r="E115" t="s">
        <v>54</v>
      </c>
      <c r="F115">
        <v>26</v>
      </c>
      <c r="G115" s="12" t="str">
        <f t="shared" si="1"/>
        <v>25-29</v>
      </c>
      <c r="H115">
        <v>2</v>
      </c>
      <c r="I115">
        <v>0</v>
      </c>
      <c r="J115">
        <v>0</v>
      </c>
      <c r="K115" t="s">
        <v>38</v>
      </c>
      <c r="L115" t="s">
        <v>23</v>
      </c>
      <c r="M115">
        <v>2.5499999999999998</v>
      </c>
      <c r="N115" t="s">
        <v>24</v>
      </c>
      <c r="O115" t="s">
        <v>25</v>
      </c>
      <c r="P115">
        <v>98230</v>
      </c>
      <c r="Q115">
        <v>3</v>
      </c>
      <c r="R115" t="s">
        <v>26</v>
      </c>
      <c r="S115" t="s">
        <v>25</v>
      </c>
    </row>
    <row r="116" spans="1:19" x14ac:dyDescent="0.3">
      <c r="A116" t="s">
        <v>204</v>
      </c>
      <c r="B116" s="9">
        <v>45795</v>
      </c>
      <c r="C116" t="s">
        <v>59</v>
      </c>
      <c r="D116" t="s">
        <v>60</v>
      </c>
      <c r="E116" t="s">
        <v>37</v>
      </c>
      <c r="F116">
        <v>29</v>
      </c>
      <c r="G116" s="12" t="str">
        <f t="shared" si="1"/>
        <v>25-29</v>
      </c>
      <c r="H116">
        <v>3</v>
      </c>
      <c r="I116">
        <v>3</v>
      </c>
      <c r="J116">
        <v>8</v>
      </c>
      <c r="K116" t="s">
        <v>22</v>
      </c>
      <c r="L116" t="s">
        <v>23</v>
      </c>
      <c r="M116">
        <v>3.28</v>
      </c>
      <c r="N116" t="s">
        <v>102</v>
      </c>
      <c r="O116" t="s">
        <v>25</v>
      </c>
      <c r="P116">
        <v>59522</v>
      </c>
      <c r="Q116">
        <v>3</v>
      </c>
      <c r="R116" t="s">
        <v>25</v>
      </c>
      <c r="S116" t="s">
        <v>26</v>
      </c>
    </row>
    <row r="117" spans="1:19" x14ac:dyDescent="0.3">
      <c r="A117" t="s">
        <v>205</v>
      </c>
      <c r="B117" s="9">
        <v>45996</v>
      </c>
      <c r="C117" t="s">
        <v>59</v>
      </c>
      <c r="D117" t="s">
        <v>49</v>
      </c>
      <c r="E117" t="s">
        <v>75</v>
      </c>
      <c r="F117">
        <v>18</v>
      </c>
      <c r="G117" s="12" t="str">
        <f t="shared" si="1"/>
        <v>18-24</v>
      </c>
      <c r="H117">
        <v>1</v>
      </c>
      <c r="I117">
        <v>1</v>
      </c>
      <c r="J117">
        <v>5</v>
      </c>
      <c r="K117" t="s">
        <v>22</v>
      </c>
      <c r="L117" t="s">
        <v>23</v>
      </c>
      <c r="M117">
        <v>3.52</v>
      </c>
      <c r="N117" t="s">
        <v>24</v>
      </c>
      <c r="O117" t="s">
        <v>25</v>
      </c>
      <c r="P117">
        <v>28035</v>
      </c>
      <c r="Q117">
        <v>3</v>
      </c>
      <c r="R117" t="s">
        <v>25</v>
      </c>
      <c r="S117" t="s">
        <v>26</v>
      </c>
    </row>
    <row r="118" spans="1:19" x14ac:dyDescent="0.3">
      <c r="A118" t="s">
        <v>206</v>
      </c>
      <c r="B118" s="9">
        <v>45387</v>
      </c>
      <c r="C118" t="s">
        <v>28</v>
      </c>
      <c r="D118" t="s">
        <v>124</v>
      </c>
      <c r="E118" t="s">
        <v>30</v>
      </c>
      <c r="F118">
        <v>30</v>
      </c>
      <c r="G118" s="12" t="str">
        <f t="shared" si="1"/>
        <v>30-34</v>
      </c>
      <c r="H118">
        <v>1</v>
      </c>
      <c r="I118">
        <v>1</v>
      </c>
      <c r="J118">
        <v>4</v>
      </c>
      <c r="K118" t="s">
        <v>22</v>
      </c>
      <c r="L118" t="s">
        <v>42</v>
      </c>
      <c r="M118">
        <v>3.45</v>
      </c>
      <c r="N118" t="s">
        <v>171</v>
      </c>
      <c r="O118" t="s">
        <v>25</v>
      </c>
      <c r="P118">
        <v>121767</v>
      </c>
      <c r="Q118">
        <v>2</v>
      </c>
      <c r="R118" t="s">
        <v>25</v>
      </c>
      <c r="S118" t="s">
        <v>26</v>
      </c>
    </row>
    <row r="119" spans="1:19" x14ac:dyDescent="0.3">
      <c r="A119" t="s">
        <v>207</v>
      </c>
      <c r="B119" s="9">
        <v>45861</v>
      </c>
      <c r="C119" t="s">
        <v>52</v>
      </c>
      <c r="D119" t="s">
        <v>129</v>
      </c>
      <c r="E119" t="s">
        <v>54</v>
      </c>
      <c r="F119">
        <v>30</v>
      </c>
      <c r="G119" s="12" t="str">
        <f t="shared" si="1"/>
        <v>30-34</v>
      </c>
      <c r="H119">
        <v>1</v>
      </c>
      <c r="I119">
        <v>1</v>
      </c>
      <c r="J119">
        <v>4</v>
      </c>
      <c r="K119" t="s">
        <v>22</v>
      </c>
      <c r="L119" t="s">
        <v>23</v>
      </c>
      <c r="M119">
        <v>2.63</v>
      </c>
      <c r="N119" t="s">
        <v>24</v>
      </c>
      <c r="O119" t="s">
        <v>25</v>
      </c>
      <c r="P119">
        <v>85758</v>
      </c>
      <c r="Q119">
        <v>1</v>
      </c>
      <c r="R119" t="s">
        <v>26</v>
      </c>
      <c r="S119" t="s">
        <v>26</v>
      </c>
    </row>
    <row r="120" spans="1:19" x14ac:dyDescent="0.3">
      <c r="A120" t="s">
        <v>208</v>
      </c>
      <c r="B120" s="9">
        <v>45442</v>
      </c>
      <c r="C120" t="s">
        <v>28</v>
      </c>
      <c r="D120" t="s">
        <v>78</v>
      </c>
      <c r="E120" t="s">
        <v>54</v>
      </c>
      <c r="F120">
        <v>29</v>
      </c>
      <c r="G120" s="12" t="str">
        <f t="shared" si="1"/>
        <v>25-29</v>
      </c>
      <c r="H120">
        <v>7</v>
      </c>
      <c r="I120">
        <v>1</v>
      </c>
      <c r="J120">
        <v>4</v>
      </c>
      <c r="K120" t="s">
        <v>22</v>
      </c>
      <c r="L120" t="s">
        <v>23</v>
      </c>
      <c r="M120">
        <v>3.5</v>
      </c>
      <c r="N120" t="s">
        <v>102</v>
      </c>
      <c r="O120" t="s">
        <v>25</v>
      </c>
      <c r="P120">
        <v>73341</v>
      </c>
      <c r="Q120">
        <v>3</v>
      </c>
      <c r="R120" t="s">
        <v>26</v>
      </c>
      <c r="S120" t="s">
        <v>26</v>
      </c>
    </row>
    <row r="121" spans="1:19" x14ac:dyDescent="0.3">
      <c r="A121" t="s">
        <v>209</v>
      </c>
      <c r="B121" s="9">
        <v>45537</v>
      </c>
      <c r="C121" t="s">
        <v>28</v>
      </c>
      <c r="D121" t="s">
        <v>124</v>
      </c>
      <c r="E121" t="s">
        <v>37</v>
      </c>
      <c r="F121">
        <v>26</v>
      </c>
      <c r="G121" s="12" t="str">
        <f t="shared" si="1"/>
        <v>25-29</v>
      </c>
      <c r="H121">
        <v>7</v>
      </c>
      <c r="I121">
        <v>1</v>
      </c>
      <c r="J121">
        <v>4</v>
      </c>
      <c r="K121" t="s">
        <v>22</v>
      </c>
      <c r="L121" t="s">
        <v>23</v>
      </c>
      <c r="M121">
        <v>2.56</v>
      </c>
      <c r="N121" t="s">
        <v>24</v>
      </c>
      <c r="O121" t="s">
        <v>25</v>
      </c>
      <c r="P121">
        <v>53892</v>
      </c>
      <c r="Q121">
        <v>2</v>
      </c>
      <c r="R121" t="s">
        <v>25</v>
      </c>
      <c r="S121" t="s">
        <v>26</v>
      </c>
    </row>
    <row r="122" spans="1:19" x14ac:dyDescent="0.3">
      <c r="A122" t="s">
        <v>210</v>
      </c>
      <c r="B122" s="9">
        <v>45781</v>
      </c>
      <c r="C122" t="s">
        <v>35</v>
      </c>
      <c r="D122" t="s">
        <v>40</v>
      </c>
      <c r="E122" t="s">
        <v>33</v>
      </c>
      <c r="F122">
        <v>32</v>
      </c>
      <c r="G122" s="12" t="str">
        <f t="shared" si="1"/>
        <v>30-34</v>
      </c>
      <c r="H122">
        <v>2</v>
      </c>
      <c r="I122">
        <v>1</v>
      </c>
      <c r="J122">
        <v>3</v>
      </c>
      <c r="K122" t="s">
        <v>38</v>
      </c>
      <c r="L122" t="s">
        <v>23</v>
      </c>
      <c r="M122">
        <v>3.58</v>
      </c>
      <c r="N122" t="s">
        <v>24</v>
      </c>
      <c r="O122" t="s">
        <v>25</v>
      </c>
      <c r="P122">
        <v>98890</v>
      </c>
      <c r="Q122">
        <v>2</v>
      </c>
      <c r="R122" t="s">
        <v>25</v>
      </c>
      <c r="S122" t="s">
        <v>26</v>
      </c>
    </row>
    <row r="123" spans="1:19" x14ac:dyDescent="0.3">
      <c r="A123" t="s">
        <v>211</v>
      </c>
      <c r="B123" s="9">
        <v>45968</v>
      </c>
      <c r="C123" t="s">
        <v>35</v>
      </c>
      <c r="D123" t="s">
        <v>40</v>
      </c>
      <c r="E123" t="s">
        <v>37</v>
      </c>
      <c r="F123">
        <v>38</v>
      </c>
      <c r="G123" s="12" t="str">
        <f t="shared" si="1"/>
        <v>35-40</v>
      </c>
      <c r="H123">
        <v>4</v>
      </c>
      <c r="I123">
        <v>4</v>
      </c>
      <c r="J123">
        <v>14</v>
      </c>
      <c r="K123" t="s">
        <v>22</v>
      </c>
      <c r="L123" t="s">
        <v>23</v>
      </c>
      <c r="M123">
        <v>2.42</v>
      </c>
      <c r="N123" t="s">
        <v>94</v>
      </c>
      <c r="O123" t="s">
        <v>25</v>
      </c>
      <c r="P123">
        <v>20531</v>
      </c>
      <c r="Q123">
        <v>4</v>
      </c>
      <c r="R123" t="s">
        <v>25</v>
      </c>
      <c r="S123" t="s">
        <v>26</v>
      </c>
    </row>
    <row r="124" spans="1:19" x14ac:dyDescent="0.3">
      <c r="A124" t="s">
        <v>212</v>
      </c>
      <c r="B124" s="9">
        <v>45796</v>
      </c>
      <c r="C124" t="s">
        <v>35</v>
      </c>
      <c r="D124" t="s">
        <v>121</v>
      </c>
      <c r="E124" t="s">
        <v>30</v>
      </c>
      <c r="F124">
        <v>32</v>
      </c>
      <c r="G124" s="12" t="str">
        <f t="shared" si="1"/>
        <v>30-34</v>
      </c>
      <c r="H124">
        <v>6</v>
      </c>
      <c r="I124">
        <v>0</v>
      </c>
      <c r="J124">
        <v>4</v>
      </c>
      <c r="K124" t="s">
        <v>22</v>
      </c>
      <c r="L124" t="s">
        <v>23</v>
      </c>
      <c r="M124">
        <v>3.5</v>
      </c>
      <c r="N124" t="s">
        <v>24</v>
      </c>
      <c r="O124" t="s">
        <v>25</v>
      </c>
      <c r="P124">
        <v>36862</v>
      </c>
      <c r="Q124">
        <v>5</v>
      </c>
      <c r="R124" t="s">
        <v>25</v>
      </c>
      <c r="S124" t="s">
        <v>26</v>
      </c>
    </row>
    <row r="125" spans="1:19" x14ac:dyDescent="0.3">
      <c r="A125" t="s">
        <v>213</v>
      </c>
      <c r="B125" s="9">
        <v>45855</v>
      </c>
      <c r="C125" t="s">
        <v>59</v>
      </c>
      <c r="D125" t="s">
        <v>91</v>
      </c>
      <c r="E125" t="s">
        <v>30</v>
      </c>
      <c r="F125">
        <v>29</v>
      </c>
      <c r="G125" s="12" t="str">
        <f t="shared" si="1"/>
        <v>25-29</v>
      </c>
      <c r="H125">
        <v>1</v>
      </c>
      <c r="I125">
        <v>1</v>
      </c>
      <c r="J125">
        <v>5</v>
      </c>
      <c r="K125" t="s">
        <v>22</v>
      </c>
      <c r="L125" t="s">
        <v>23</v>
      </c>
      <c r="M125">
        <v>3.5</v>
      </c>
      <c r="N125" t="s">
        <v>24</v>
      </c>
      <c r="O125" t="s">
        <v>25</v>
      </c>
      <c r="P125">
        <v>77025</v>
      </c>
      <c r="Q125">
        <v>2</v>
      </c>
      <c r="R125" t="s">
        <v>25</v>
      </c>
      <c r="S125" t="s">
        <v>26</v>
      </c>
    </row>
    <row r="126" spans="1:19" x14ac:dyDescent="0.3">
      <c r="A126" t="s">
        <v>214</v>
      </c>
      <c r="B126" s="9">
        <v>45411</v>
      </c>
      <c r="C126" t="s">
        <v>35</v>
      </c>
      <c r="D126" t="s">
        <v>121</v>
      </c>
      <c r="E126" t="s">
        <v>30</v>
      </c>
      <c r="F126">
        <v>25</v>
      </c>
      <c r="G126" s="12" t="str">
        <f t="shared" si="1"/>
        <v>25-29</v>
      </c>
      <c r="H126">
        <v>5</v>
      </c>
      <c r="I126">
        <v>4</v>
      </c>
      <c r="J126">
        <v>5</v>
      </c>
      <c r="K126" t="s">
        <v>22</v>
      </c>
      <c r="L126" t="s">
        <v>23</v>
      </c>
      <c r="M126">
        <v>4.1399999999999997</v>
      </c>
      <c r="N126" t="s">
        <v>24</v>
      </c>
      <c r="O126" t="s">
        <v>25</v>
      </c>
      <c r="P126">
        <v>98635</v>
      </c>
      <c r="Q126">
        <v>4</v>
      </c>
      <c r="R126" t="s">
        <v>25</v>
      </c>
      <c r="S126" t="s">
        <v>26</v>
      </c>
    </row>
    <row r="127" spans="1:19" x14ac:dyDescent="0.3">
      <c r="A127" t="s">
        <v>215</v>
      </c>
      <c r="B127" s="9">
        <v>45614</v>
      </c>
      <c r="C127" t="s">
        <v>28</v>
      </c>
      <c r="D127" t="s">
        <v>78</v>
      </c>
      <c r="E127" t="s">
        <v>33</v>
      </c>
      <c r="F127">
        <v>26</v>
      </c>
      <c r="G127" s="12" t="str">
        <f t="shared" si="1"/>
        <v>25-29</v>
      </c>
      <c r="H127">
        <v>4</v>
      </c>
      <c r="I127">
        <v>3</v>
      </c>
      <c r="J127">
        <v>3</v>
      </c>
      <c r="K127" t="s">
        <v>38</v>
      </c>
      <c r="L127" t="s">
        <v>23</v>
      </c>
      <c r="M127">
        <v>3.03</v>
      </c>
      <c r="N127" t="s">
        <v>88</v>
      </c>
      <c r="O127" t="s">
        <v>25</v>
      </c>
      <c r="P127">
        <v>146393</v>
      </c>
      <c r="Q127">
        <v>5</v>
      </c>
      <c r="R127" t="s">
        <v>25</v>
      </c>
      <c r="S127" t="s">
        <v>26</v>
      </c>
    </row>
    <row r="128" spans="1:19" x14ac:dyDescent="0.3">
      <c r="A128" t="s">
        <v>216</v>
      </c>
      <c r="B128" s="9">
        <v>45736</v>
      </c>
      <c r="C128" t="s">
        <v>35</v>
      </c>
      <c r="D128" t="s">
        <v>36</v>
      </c>
      <c r="E128" t="s">
        <v>21</v>
      </c>
      <c r="F128">
        <v>20</v>
      </c>
      <c r="G128" s="12" t="str">
        <f t="shared" si="1"/>
        <v>18-24</v>
      </c>
      <c r="H128">
        <v>3</v>
      </c>
      <c r="I128">
        <v>1</v>
      </c>
      <c r="J128">
        <v>8</v>
      </c>
      <c r="K128" t="s">
        <v>38</v>
      </c>
      <c r="L128" t="s">
        <v>23</v>
      </c>
      <c r="M128">
        <v>3.01</v>
      </c>
      <c r="N128" t="s">
        <v>24</v>
      </c>
      <c r="O128" t="s">
        <v>25</v>
      </c>
      <c r="P128">
        <v>134327</v>
      </c>
      <c r="Q128">
        <v>2</v>
      </c>
      <c r="R128" t="s">
        <v>26</v>
      </c>
      <c r="S128" t="s">
        <v>26</v>
      </c>
    </row>
    <row r="129" spans="1:19" x14ac:dyDescent="0.3">
      <c r="A129" t="s">
        <v>217</v>
      </c>
      <c r="B129" s="9">
        <v>45656</v>
      </c>
      <c r="C129" t="s">
        <v>35</v>
      </c>
      <c r="D129" t="s">
        <v>45</v>
      </c>
      <c r="E129" t="s">
        <v>30</v>
      </c>
      <c r="F129">
        <v>20</v>
      </c>
      <c r="G129" s="12" t="str">
        <f t="shared" si="1"/>
        <v>18-24</v>
      </c>
      <c r="H129">
        <v>5</v>
      </c>
      <c r="I129">
        <v>0</v>
      </c>
      <c r="J129">
        <v>6</v>
      </c>
      <c r="K129" t="s">
        <v>22</v>
      </c>
      <c r="L129" t="s">
        <v>23</v>
      </c>
      <c r="M129">
        <v>3.14</v>
      </c>
      <c r="N129" t="s">
        <v>50</v>
      </c>
      <c r="O129" t="s">
        <v>25</v>
      </c>
      <c r="P129">
        <v>32750</v>
      </c>
      <c r="Q129">
        <v>1</v>
      </c>
      <c r="R129" t="s">
        <v>26</v>
      </c>
      <c r="S129" t="s">
        <v>26</v>
      </c>
    </row>
    <row r="130" spans="1:19" x14ac:dyDescent="0.3">
      <c r="A130" t="s">
        <v>218</v>
      </c>
      <c r="B130" s="9">
        <v>45523</v>
      </c>
      <c r="C130" t="s">
        <v>59</v>
      </c>
      <c r="D130" t="s">
        <v>91</v>
      </c>
      <c r="E130" t="s">
        <v>21</v>
      </c>
      <c r="F130">
        <v>27</v>
      </c>
      <c r="G130" s="12" t="str">
        <f t="shared" si="1"/>
        <v>25-29</v>
      </c>
      <c r="H130">
        <v>3</v>
      </c>
      <c r="I130">
        <v>2</v>
      </c>
      <c r="J130">
        <v>8</v>
      </c>
      <c r="K130" t="s">
        <v>22</v>
      </c>
      <c r="L130" t="s">
        <v>23</v>
      </c>
      <c r="M130">
        <v>2.96</v>
      </c>
      <c r="N130" t="s">
        <v>24</v>
      </c>
      <c r="O130" t="s">
        <v>25</v>
      </c>
      <c r="P130">
        <v>27421</v>
      </c>
      <c r="Q130">
        <v>1</v>
      </c>
      <c r="R130" t="s">
        <v>25</v>
      </c>
      <c r="S130" t="s">
        <v>26</v>
      </c>
    </row>
    <row r="131" spans="1:19" x14ac:dyDescent="0.3">
      <c r="A131" t="s">
        <v>220</v>
      </c>
      <c r="B131" s="9">
        <v>45930</v>
      </c>
      <c r="C131" t="s">
        <v>35</v>
      </c>
      <c r="D131" t="s">
        <v>36</v>
      </c>
      <c r="E131" t="s">
        <v>37</v>
      </c>
      <c r="F131">
        <v>27</v>
      </c>
      <c r="G131" s="12" t="str">
        <f t="shared" ref="G131:G151" si="2">IF(F131&lt;25,"18-24",IF(F131&lt;30,"25-29",IF(F131&lt;35,"30-34",IF(F131&lt;40,"35-40",IF(F131&lt;45,"40-45","45+")))))</f>
        <v>25-29</v>
      </c>
      <c r="H131">
        <v>1</v>
      </c>
      <c r="I131">
        <v>1</v>
      </c>
      <c r="J131">
        <v>0</v>
      </c>
      <c r="K131" t="s">
        <v>22</v>
      </c>
      <c r="L131" t="s">
        <v>23</v>
      </c>
      <c r="M131">
        <v>3.07</v>
      </c>
      <c r="N131" t="s">
        <v>102</v>
      </c>
      <c r="O131" t="s">
        <v>25</v>
      </c>
      <c r="P131">
        <v>59226</v>
      </c>
      <c r="Q131">
        <v>3</v>
      </c>
      <c r="R131" t="s">
        <v>25</v>
      </c>
      <c r="S131" t="s">
        <v>25</v>
      </c>
    </row>
    <row r="132" spans="1:19" x14ac:dyDescent="0.3">
      <c r="A132" t="s">
        <v>221</v>
      </c>
      <c r="B132" s="9">
        <v>45610</v>
      </c>
      <c r="C132" t="s">
        <v>28</v>
      </c>
      <c r="D132" t="s">
        <v>70</v>
      </c>
      <c r="E132" t="s">
        <v>75</v>
      </c>
      <c r="F132">
        <v>38</v>
      </c>
      <c r="G132" s="12" t="str">
        <f t="shared" si="2"/>
        <v>35-40</v>
      </c>
      <c r="H132">
        <v>5</v>
      </c>
      <c r="I132">
        <v>5</v>
      </c>
      <c r="J132">
        <v>7</v>
      </c>
      <c r="K132" t="s">
        <v>38</v>
      </c>
      <c r="L132" t="s">
        <v>23</v>
      </c>
      <c r="M132">
        <v>2.95</v>
      </c>
      <c r="N132" t="s">
        <v>24</v>
      </c>
      <c r="O132" t="s">
        <v>25</v>
      </c>
      <c r="P132">
        <v>117336</v>
      </c>
      <c r="Q132">
        <v>7</v>
      </c>
      <c r="R132" t="s">
        <v>25</v>
      </c>
      <c r="S132" t="s">
        <v>26</v>
      </c>
    </row>
    <row r="133" spans="1:19" x14ac:dyDescent="0.3">
      <c r="A133" t="s">
        <v>222</v>
      </c>
      <c r="B133" s="9">
        <v>45325</v>
      </c>
      <c r="C133" t="s">
        <v>35</v>
      </c>
      <c r="D133" t="s">
        <v>40</v>
      </c>
      <c r="E133" t="s">
        <v>21</v>
      </c>
      <c r="F133">
        <v>29</v>
      </c>
      <c r="G133" s="12" t="str">
        <f t="shared" si="2"/>
        <v>25-29</v>
      </c>
      <c r="H133">
        <v>2</v>
      </c>
      <c r="I133">
        <v>0</v>
      </c>
      <c r="J133">
        <v>5</v>
      </c>
      <c r="K133" t="s">
        <v>22</v>
      </c>
      <c r="L133" t="s">
        <v>23</v>
      </c>
      <c r="M133">
        <v>3.09</v>
      </c>
      <c r="N133" t="s">
        <v>223</v>
      </c>
      <c r="O133" t="s">
        <v>25</v>
      </c>
      <c r="P133">
        <v>69952</v>
      </c>
      <c r="Q133">
        <v>1</v>
      </c>
      <c r="R133" t="s">
        <v>25</v>
      </c>
      <c r="S133" t="s">
        <v>26</v>
      </c>
    </row>
    <row r="134" spans="1:19" x14ac:dyDescent="0.3">
      <c r="A134" t="s">
        <v>224</v>
      </c>
      <c r="B134" s="9">
        <v>45875</v>
      </c>
      <c r="C134" t="s">
        <v>28</v>
      </c>
      <c r="D134" t="s">
        <v>78</v>
      </c>
      <c r="E134" t="s">
        <v>37</v>
      </c>
      <c r="F134">
        <v>26</v>
      </c>
      <c r="G134" s="12" t="str">
        <f t="shared" si="2"/>
        <v>25-29</v>
      </c>
      <c r="H134">
        <v>4</v>
      </c>
      <c r="I134">
        <v>3</v>
      </c>
      <c r="J134">
        <v>3</v>
      </c>
      <c r="K134" t="s">
        <v>22</v>
      </c>
      <c r="L134" t="s">
        <v>23</v>
      </c>
      <c r="M134">
        <v>3.08</v>
      </c>
      <c r="N134" t="s">
        <v>24</v>
      </c>
      <c r="O134" t="s">
        <v>25</v>
      </c>
      <c r="P134">
        <v>51414</v>
      </c>
      <c r="Q134">
        <v>1</v>
      </c>
      <c r="R134" t="s">
        <v>25</v>
      </c>
      <c r="S134" t="s">
        <v>26</v>
      </c>
    </row>
    <row r="135" spans="1:19" x14ac:dyDescent="0.3">
      <c r="A135" t="s">
        <v>225</v>
      </c>
      <c r="B135" s="9">
        <v>45728</v>
      </c>
      <c r="C135" t="s">
        <v>19</v>
      </c>
      <c r="D135" t="s">
        <v>20</v>
      </c>
      <c r="E135" t="s">
        <v>33</v>
      </c>
      <c r="F135">
        <v>29</v>
      </c>
      <c r="G135" s="12" t="str">
        <f t="shared" si="2"/>
        <v>25-29</v>
      </c>
      <c r="H135">
        <v>2</v>
      </c>
      <c r="I135">
        <v>0</v>
      </c>
      <c r="J135">
        <v>4</v>
      </c>
      <c r="K135" t="s">
        <v>38</v>
      </c>
      <c r="L135" t="s">
        <v>23</v>
      </c>
      <c r="M135">
        <v>3.93</v>
      </c>
      <c r="N135" t="s">
        <v>24</v>
      </c>
      <c r="O135" t="s">
        <v>25</v>
      </c>
      <c r="P135">
        <v>78725</v>
      </c>
      <c r="Q135">
        <v>5</v>
      </c>
      <c r="R135" t="s">
        <v>25</v>
      </c>
      <c r="S135" t="s">
        <v>26</v>
      </c>
    </row>
    <row r="136" spans="1:19" x14ac:dyDescent="0.3">
      <c r="A136" t="s">
        <v>226</v>
      </c>
      <c r="B136" s="9">
        <v>45988</v>
      </c>
      <c r="C136" t="s">
        <v>28</v>
      </c>
      <c r="D136" t="s">
        <v>29</v>
      </c>
      <c r="E136" t="s">
        <v>30</v>
      </c>
      <c r="F136">
        <v>35</v>
      </c>
      <c r="G136" s="12" t="str">
        <f t="shared" si="2"/>
        <v>35-40</v>
      </c>
      <c r="H136">
        <v>4</v>
      </c>
      <c r="I136">
        <v>2</v>
      </c>
      <c r="J136">
        <v>0</v>
      </c>
      <c r="K136" t="s">
        <v>22</v>
      </c>
      <c r="L136" t="s">
        <v>23</v>
      </c>
      <c r="M136">
        <v>2.91</v>
      </c>
      <c r="N136" t="s">
        <v>24</v>
      </c>
      <c r="O136" t="s">
        <v>25</v>
      </c>
      <c r="P136">
        <v>55713</v>
      </c>
      <c r="Q136">
        <v>1</v>
      </c>
      <c r="R136" t="s">
        <v>227</v>
      </c>
      <c r="S136" t="s">
        <v>25</v>
      </c>
    </row>
    <row r="137" spans="1:19" x14ac:dyDescent="0.3">
      <c r="A137" t="s">
        <v>228</v>
      </c>
      <c r="B137" s="9">
        <v>45503</v>
      </c>
      <c r="C137" t="s">
        <v>28</v>
      </c>
      <c r="D137" t="s">
        <v>29</v>
      </c>
      <c r="E137" t="s">
        <v>75</v>
      </c>
      <c r="F137">
        <v>25</v>
      </c>
      <c r="G137" s="12" t="str">
        <f t="shared" si="2"/>
        <v>25-29</v>
      </c>
      <c r="H137">
        <v>5</v>
      </c>
      <c r="I137">
        <v>5</v>
      </c>
      <c r="J137">
        <v>2</v>
      </c>
      <c r="K137" t="s">
        <v>22</v>
      </c>
      <c r="L137" t="s">
        <v>23</v>
      </c>
      <c r="M137">
        <v>4.0599999999999996</v>
      </c>
      <c r="N137" t="s">
        <v>171</v>
      </c>
      <c r="O137" t="s">
        <v>25</v>
      </c>
      <c r="P137">
        <v>88391</v>
      </c>
      <c r="Q137">
        <v>3</v>
      </c>
      <c r="R137" t="s">
        <v>26</v>
      </c>
      <c r="S137" t="s">
        <v>26</v>
      </c>
    </row>
    <row r="138" spans="1:19" x14ac:dyDescent="0.3">
      <c r="A138" t="s">
        <v>229</v>
      </c>
      <c r="B138" s="9">
        <v>45426</v>
      </c>
      <c r="C138" t="s">
        <v>52</v>
      </c>
      <c r="D138" t="s">
        <v>111</v>
      </c>
      <c r="E138" t="s">
        <v>33</v>
      </c>
      <c r="F138">
        <v>32</v>
      </c>
      <c r="G138" s="12" t="str">
        <f t="shared" si="2"/>
        <v>30-34</v>
      </c>
      <c r="H138">
        <v>7</v>
      </c>
      <c r="I138">
        <v>2</v>
      </c>
      <c r="J138">
        <v>2</v>
      </c>
      <c r="K138" t="s">
        <v>22</v>
      </c>
      <c r="L138" t="s">
        <v>23</v>
      </c>
      <c r="M138">
        <v>2.81</v>
      </c>
      <c r="N138" t="s">
        <v>24</v>
      </c>
      <c r="O138" t="s">
        <v>25</v>
      </c>
      <c r="P138">
        <v>77234</v>
      </c>
      <c r="Q138">
        <v>1</v>
      </c>
      <c r="R138" t="s">
        <v>25</v>
      </c>
      <c r="S138" t="s">
        <v>26</v>
      </c>
    </row>
    <row r="139" spans="1:19" x14ac:dyDescent="0.3">
      <c r="A139" t="s">
        <v>230</v>
      </c>
      <c r="B139" s="9">
        <v>45337</v>
      </c>
      <c r="C139" t="s">
        <v>28</v>
      </c>
      <c r="D139" t="s">
        <v>78</v>
      </c>
      <c r="E139" t="s">
        <v>33</v>
      </c>
      <c r="F139">
        <v>32</v>
      </c>
      <c r="G139" s="12" t="str">
        <f t="shared" si="2"/>
        <v>30-34</v>
      </c>
      <c r="H139">
        <v>5</v>
      </c>
      <c r="I139">
        <v>4</v>
      </c>
      <c r="J139">
        <v>4</v>
      </c>
      <c r="K139" t="s">
        <v>38</v>
      </c>
      <c r="L139" t="s">
        <v>23</v>
      </c>
      <c r="M139">
        <v>2.89</v>
      </c>
      <c r="N139" t="s">
        <v>223</v>
      </c>
      <c r="O139" t="s">
        <v>25</v>
      </c>
      <c r="P139">
        <v>162773</v>
      </c>
      <c r="Q139">
        <v>4</v>
      </c>
      <c r="R139" t="s">
        <v>25</v>
      </c>
      <c r="S139" t="s">
        <v>26</v>
      </c>
    </row>
    <row r="140" spans="1:19" x14ac:dyDescent="0.3">
      <c r="A140" t="s">
        <v>231</v>
      </c>
      <c r="B140" s="9">
        <v>45315</v>
      </c>
      <c r="C140" t="s">
        <v>19</v>
      </c>
      <c r="D140" t="s">
        <v>96</v>
      </c>
      <c r="E140" t="s">
        <v>75</v>
      </c>
      <c r="F140">
        <v>27</v>
      </c>
      <c r="G140" s="12" t="str">
        <f t="shared" si="2"/>
        <v>25-29</v>
      </c>
      <c r="H140">
        <v>1</v>
      </c>
      <c r="I140">
        <v>1</v>
      </c>
      <c r="J140">
        <v>7</v>
      </c>
      <c r="K140" t="s">
        <v>22</v>
      </c>
      <c r="L140" t="s">
        <v>23</v>
      </c>
      <c r="M140">
        <v>2.5099999999999998</v>
      </c>
      <c r="N140" t="s">
        <v>50</v>
      </c>
      <c r="O140" t="s">
        <v>25</v>
      </c>
      <c r="P140">
        <v>80398</v>
      </c>
      <c r="Q140">
        <v>2</v>
      </c>
      <c r="R140" t="s">
        <v>26</v>
      </c>
      <c r="S140" t="s">
        <v>26</v>
      </c>
    </row>
    <row r="141" spans="1:19" x14ac:dyDescent="0.3">
      <c r="A141" t="s">
        <v>232</v>
      </c>
      <c r="B141" s="9">
        <v>45897</v>
      </c>
      <c r="C141" t="s">
        <v>52</v>
      </c>
      <c r="D141" t="s">
        <v>64</v>
      </c>
      <c r="E141" t="s">
        <v>33</v>
      </c>
      <c r="F141">
        <v>27</v>
      </c>
      <c r="G141" s="12" t="str">
        <f t="shared" si="2"/>
        <v>25-29</v>
      </c>
      <c r="H141">
        <v>7</v>
      </c>
      <c r="I141">
        <v>6</v>
      </c>
      <c r="K141" t="s">
        <v>38</v>
      </c>
      <c r="L141" t="s">
        <v>23</v>
      </c>
      <c r="M141">
        <v>2.41</v>
      </c>
      <c r="N141" t="s">
        <v>102</v>
      </c>
      <c r="O141" t="s">
        <v>25</v>
      </c>
      <c r="P141">
        <v>168100</v>
      </c>
      <c r="Q141">
        <v>3</v>
      </c>
      <c r="R141" t="s">
        <v>25</v>
      </c>
      <c r="S141" t="s">
        <v>26</v>
      </c>
    </row>
    <row r="142" spans="1:19" x14ac:dyDescent="0.3">
      <c r="A142" t="s">
        <v>233</v>
      </c>
      <c r="B142" s="9">
        <v>45942</v>
      </c>
      <c r="C142" t="s">
        <v>28</v>
      </c>
      <c r="D142" t="s">
        <v>70</v>
      </c>
      <c r="E142" t="s">
        <v>21</v>
      </c>
      <c r="F142">
        <v>26</v>
      </c>
      <c r="G142" s="12" t="str">
        <f t="shared" si="2"/>
        <v>25-29</v>
      </c>
      <c r="H142">
        <v>4</v>
      </c>
      <c r="I142">
        <v>2</v>
      </c>
      <c r="J142">
        <v>7</v>
      </c>
      <c r="K142" t="s">
        <v>38</v>
      </c>
      <c r="L142" t="s">
        <v>23</v>
      </c>
      <c r="M142">
        <v>2.71</v>
      </c>
      <c r="N142" t="s">
        <v>94</v>
      </c>
      <c r="O142" t="s">
        <v>25</v>
      </c>
      <c r="P142">
        <v>109788</v>
      </c>
      <c r="Q142">
        <v>1</v>
      </c>
      <c r="R142" t="s">
        <v>26</v>
      </c>
      <c r="S142" t="s">
        <v>26</v>
      </c>
    </row>
    <row r="143" spans="1:19" x14ac:dyDescent="0.3">
      <c r="A143" t="s">
        <v>234</v>
      </c>
      <c r="B143" s="9">
        <v>45556</v>
      </c>
      <c r="C143" t="s">
        <v>28</v>
      </c>
      <c r="D143" t="s">
        <v>78</v>
      </c>
      <c r="E143" t="s">
        <v>54</v>
      </c>
      <c r="F143">
        <v>32</v>
      </c>
      <c r="G143" s="12" t="str">
        <f t="shared" si="2"/>
        <v>30-34</v>
      </c>
      <c r="H143">
        <v>7</v>
      </c>
      <c r="I143">
        <v>2</v>
      </c>
      <c r="J143">
        <v>2</v>
      </c>
      <c r="K143" t="s">
        <v>22</v>
      </c>
      <c r="L143" t="s">
        <v>42</v>
      </c>
      <c r="M143">
        <v>4.07</v>
      </c>
      <c r="N143" t="s">
        <v>50</v>
      </c>
      <c r="O143" t="s">
        <v>25</v>
      </c>
      <c r="P143">
        <v>15000</v>
      </c>
      <c r="Q143">
        <v>4</v>
      </c>
      <c r="R143" t="s">
        <v>188</v>
      </c>
      <c r="S143" t="s">
        <v>26</v>
      </c>
    </row>
    <row r="144" spans="1:19" x14ac:dyDescent="0.3">
      <c r="A144" t="s">
        <v>235</v>
      </c>
      <c r="B144" s="9">
        <v>45887</v>
      </c>
      <c r="C144" t="s">
        <v>52</v>
      </c>
      <c r="D144" t="s">
        <v>111</v>
      </c>
      <c r="E144" t="s">
        <v>33</v>
      </c>
      <c r="F144">
        <v>30</v>
      </c>
      <c r="G144" s="12" t="str">
        <f t="shared" si="2"/>
        <v>30-34</v>
      </c>
      <c r="H144">
        <v>7</v>
      </c>
      <c r="I144">
        <v>5</v>
      </c>
      <c r="J144">
        <v>4</v>
      </c>
      <c r="K144" t="s">
        <v>22</v>
      </c>
      <c r="L144" t="s">
        <v>42</v>
      </c>
      <c r="M144">
        <v>2.8</v>
      </c>
      <c r="N144" t="s">
        <v>50</v>
      </c>
      <c r="O144" t="s">
        <v>25</v>
      </c>
      <c r="P144">
        <v>74978</v>
      </c>
      <c r="Q144">
        <v>1</v>
      </c>
      <c r="R144" t="s">
        <v>25</v>
      </c>
      <c r="S144" t="s">
        <v>26</v>
      </c>
    </row>
    <row r="145" spans="1:19" x14ac:dyDescent="0.3">
      <c r="A145" t="s">
        <v>236</v>
      </c>
      <c r="B145" s="9">
        <v>45575</v>
      </c>
      <c r="C145" t="s">
        <v>28</v>
      </c>
      <c r="D145" t="s">
        <v>124</v>
      </c>
      <c r="E145" t="s">
        <v>37</v>
      </c>
      <c r="F145">
        <v>34</v>
      </c>
      <c r="G145" s="12" t="str">
        <f t="shared" si="2"/>
        <v>30-34</v>
      </c>
      <c r="H145">
        <v>7</v>
      </c>
      <c r="I145">
        <v>5</v>
      </c>
      <c r="J145">
        <v>5</v>
      </c>
      <c r="K145" t="s">
        <v>22</v>
      </c>
      <c r="L145" t="s">
        <v>23</v>
      </c>
      <c r="M145">
        <v>3.18</v>
      </c>
      <c r="N145" t="s">
        <v>24</v>
      </c>
      <c r="O145" t="s">
        <v>25</v>
      </c>
      <c r="P145">
        <v>55909</v>
      </c>
      <c r="Q145">
        <v>1</v>
      </c>
      <c r="R145" t="s">
        <v>25</v>
      </c>
      <c r="S145" t="s">
        <v>26</v>
      </c>
    </row>
    <row r="146" spans="1:19" x14ac:dyDescent="0.3">
      <c r="A146" t="s">
        <v>237</v>
      </c>
      <c r="B146" s="9">
        <v>45372</v>
      </c>
      <c r="C146" t="s">
        <v>19</v>
      </c>
      <c r="D146" t="s">
        <v>57</v>
      </c>
      <c r="E146" t="s">
        <v>30</v>
      </c>
      <c r="F146">
        <v>30</v>
      </c>
      <c r="G146" s="12" t="str">
        <f t="shared" si="2"/>
        <v>30-34</v>
      </c>
      <c r="H146">
        <v>5</v>
      </c>
      <c r="I146">
        <v>0</v>
      </c>
      <c r="J146">
        <v>1</v>
      </c>
      <c r="K146" t="s">
        <v>22</v>
      </c>
      <c r="L146" t="s">
        <v>23</v>
      </c>
      <c r="M146">
        <v>2.36</v>
      </c>
      <c r="N146" t="s">
        <v>24</v>
      </c>
      <c r="O146" t="s">
        <v>25</v>
      </c>
      <c r="P146">
        <v>83581</v>
      </c>
      <c r="Q146">
        <v>2</v>
      </c>
      <c r="R146" t="s">
        <v>25</v>
      </c>
      <c r="S146" t="s">
        <v>26</v>
      </c>
    </row>
    <row r="147" spans="1:19" x14ac:dyDescent="0.3">
      <c r="A147" t="s">
        <v>238</v>
      </c>
      <c r="B147" s="9">
        <v>45879</v>
      </c>
      <c r="C147" t="s">
        <v>19</v>
      </c>
      <c r="D147" t="s">
        <v>96</v>
      </c>
      <c r="E147" t="s">
        <v>30</v>
      </c>
      <c r="F147">
        <v>28</v>
      </c>
      <c r="G147" s="12" t="str">
        <f t="shared" si="2"/>
        <v>25-29</v>
      </c>
      <c r="H147">
        <v>4</v>
      </c>
      <c r="I147">
        <v>4</v>
      </c>
      <c r="J147">
        <v>5</v>
      </c>
      <c r="K147" t="s">
        <v>22</v>
      </c>
      <c r="L147" t="s">
        <v>23</v>
      </c>
      <c r="M147">
        <v>3.29</v>
      </c>
      <c r="N147" t="s">
        <v>102</v>
      </c>
      <c r="O147" t="s">
        <v>25</v>
      </c>
      <c r="P147">
        <v>51506</v>
      </c>
      <c r="Q147">
        <v>1</v>
      </c>
      <c r="R147" t="s">
        <v>25</v>
      </c>
      <c r="S147" t="s">
        <v>26</v>
      </c>
    </row>
    <row r="148" spans="1:19" x14ac:dyDescent="0.3">
      <c r="A148" t="s">
        <v>239</v>
      </c>
      <c r="B148" s="9">
        <v>45645</v>
      </c>
      <c r="C148" t="s">
        <v>52</v>
      </c>
      <c r="D148" t="s">
        <v>87</v>
      </c>
      <c r="E148" t="s">
        <v>30</v>
      </c>
      <c r="F148">
        <v>29</v>
      </c>
      <c r="G148" s="12" t="str">
        <f t="shared" si="2"/>
        <v>25-29</v>
      </c>
      <c r="H148">
        <v>5</v>
      </c>
      <c r="I148">
        <v>3</v>
      </c>
      <c r="J148">
        <v>3</v>
      </c>
      <c r="K148" t="s">
        <v>22</v>
      </c>
      <c r="L148" t="s">
        <v>42</v>
      </c>
      <c r="M148">
        <v>3.32</v>
      </c>
      <c r="N148" t="s">
        <v>24</v>
      </c>
      <c r="O148" t="s">
        <v>25</v>
      </c>
      <c r="P148">
        <v>22435</v>
      </c>
      <c r="Q148">
        <v>3</v>
      </c>
      <c r="R148" t="s">
        <v>25</v>
      </c>
      <c r="S148" t="s">
        <v>26</v>
      </c>
    </row>
    <row r="149" spans="1:19" x14ac:dyDescent="0.3">
      <c r="A149" t="s">
        <v>240</v>
      </c>
      <c r="B149" s="9">
        <v>45666</v>
      </c>
      <c r="C149" t="s">
        <v>19</v>
      </c>
      <c r="D149" t="s">
        <v>72</v>
      </c>
      <c r="E149" t="s">
        <v>75</v>
      </c>
      <c r="F149">
        <v>31</v>
      </c>
      <c r="G149" s="12" t="str">
        <f t="shared" si="2"/>
        <v>30-34</v>
      </c>
      <c r="H149">
        <v>1</v>
      </c>
      <c r="I149">
        <v>0</v>
      </c>
      <c r="J149">
        <v>5</v>
      </c>
      <c r="K149" t="s">
        <v>38</v>
      </c>
      <c r="L149" t="s">
        <v>55</v>
      </c>
      <c r="M149">
        <v>3.64</v>
      </c>
      <c r="N149" t="s">
        <v>99</v>
      </c>
      <c r="O149" t="s">
        <v>25</v>
      </c>
      <c r="P149">
        <v>186636</v>
      </c>
      <c r="Q149">
        <v>5</v>
      </c>
      <c r="R149" t="s">
        <v>25</v>
      </c>
      <c r="S149" t="s">
        <v>26</v>
      </c>
    </row>
    <row r="150" spans="1:19" x14ac:dyDescent="0.3">
      <c r="A150" t="s">
        <v>241</v>
      </c>
      <c r="B150" s="9">
        <v>45865</v>
      </c>
      <c r="C150" t="s">
        <v>35</v>
      </c>
      <c r="D150" t="s">
        <v>121</v>
      </c>
      <c r="E150" t="s">
        <v>30</v>
      </c>
      <c r="F150">
        <v>34</v>
      </c>
      <c r="G150" s="12" t="str">
        <f t="shared" si="2"/>
        <v>30-34</v>
      </c>
      <c r="H150">
        <v>4</v>
      </c>
      <c r="I150">
        <v>2</v>
      </c>
      <c r="J150">
        <v>2</v>
      </c>
      <c r="K150" t="s">
        <v>22</v>
      </c>
      <c r="L150" t="s">
        <v>23</v>
      </c>
      <c r="M150">
        <v>2.76</v>
      </c>
      <c r="N150" t="s">
        <v>50</v>
      </c>
      <c r="O150" t="s">
        <v>25</v>
      </c>
      <c r="P150">
        <v>65652</v>
      </c>
      <c r="Q150">
        <v>2</v>
      </c>
      <c r="R150" t="s">
        <v>25</v>
      </c>
      <c r="S150" t="s">
        <v>26</v>
      </c>
    </row>
    <row r="151" spans="1:19" x14ac:dyDescent="0.3">
      <c r="A151" t="s">
        <v>242</v>
      </c>
      <c r="B151" s="9">
        <v>45965</v>
      </c>
      <c r="C151" t="s">
        <v>59</v>
      </c>
      <c r="D151" t="s">
        <v>49</v>
      </c>
      <c r="E151" t="s">
        <v>30</v>
      </c>
      <c r="F151">
        <v>25</v>
      </c>
      <c r="G151" s="12" t="str">
        <f t="shared" si="2"/>
        <v>25-29</v>
      </c>
      <c r="H151">
        <v>3</v>
      </c>
      <c r="I151">
        <v>1</v>
      </c>
      <c r="J151">
        <v>5</v>
      </c>
      <c r="K151" t="s">
        <v>22</v>
      </c>
      <c r="L151" t="s">
        <v>23</v>
      </c>
      <c r="M151">
        <v>2.68</v>
      </c>
      <c r="N151" t="s">
        <v>24</v>
      </c>
      <c r="O151" t="s">
        <v>25</v>
      </c>
      <c r="P151">
        <v>49712</v>
      </c>
      <c r="Q151">
        <v>1</v>
      </c>
      <c r="R151" t="s">
        <v>25</v>
      </c>
      <c r="S151" t="s">
        <v>26</v>
      </c>
    </row>
  </sheetData>
  <pageMargins left="0.75" right="0.75" top="1" bottom="1" header="0.5" footer="0.5"/>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Raw_Data</vt:lpstr>
      <vt:lpstr>Questions</vt:lpstr>
      <vt:lpstr>Cleaned_data</vt:lpstr>
      <vt:lpstr>Pivot</vt:lpstr>
      <vt:lpstr>DASHBOARD</vt:lpstr>
      <vt:lpstr>Tabel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PETROLINA ALUMONA</cp:lastModifiedBy>
  <dcterms:created xsi:type="dcterms:W3CDTF">2026-10-06T11:19:06Z</dcterms:created>
  <dcterms:modified xsi:type="dcterms:W3CDTF">2026-10-09T15:22:02Z</dcterms:modified>
</cp:coreProperties>
</file>
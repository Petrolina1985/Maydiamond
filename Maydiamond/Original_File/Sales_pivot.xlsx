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Maydiamond\Original_File\"/>
    </mc:Choice>
  </mc:AlternateContent>
  <xr:revisionPtr revIDLastSave="0" documentId="8_{FB539C0A-5B68-4B6D-B890-60DD3B9E918C}" xr6:coauthVersionLast="47" xr6:coauthVersionMax="47" xr10:uidLastSave="{00000000-0000-0000-0000-000000000000}"/>
  <bookViews>
    <workbookView xWindow="-108" yWindow="-108" windowWidth="23256" windowHeight="12456" xr2:uid="{D6F06409-2E9F-4AF8-9814-B3D588ED492F}"/>
  </bookViews>
  <sheets>
    <sheet name="Pivot-table" sheetId="1" r:id="rId1"/>
  </sheets>
  <externalReferences>
    <externalReference r:id="rId2"/>
  </externalReferenc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L10" i="1"/>
  <c r="L4" i="1"/>
</calcChain>
</file>

<file path=xl/sharedStrings.xml><?xml version="1.0" encoding="utf-8"?>
<sst xmlns="http://schemas.openxmlformats.org/spreadsheetml/2006/main" count="36" uniqueCount="30">
  <si>
    <t>Region</t>
  </si>
  <si>
    <t>Revenue</t>
  </si>
  <si>
    <t>Central</t>
  </si>
  <si>
    <t>North</t>
  </si>
  <si>
    <t>South</t>
  </si>
  <si>
    <t>West</t>
  </si>
  <si>
    <t>Salesperson</t>
  </si>
  <si>
    <t>Bishop</t>
  </si>
  <si>
    <t>Lee</t>
  </si>
  <si>
    <t>Parker</t>
  </si>
  <si>
    <t>Pullen</t>
  </si>
  <si>
    <t>Watson</t>
  </si>
  <si>
    <t>Product</t>
  </si>
  <si>
    <t>Frozen Yogurt</t>
  </si>
  <si>
    <t>Ice Cream</t>
  </si>
  <si>
    <t>Popsicles</t>
  </si>
  <si>
    <t>Tasty Treats</t>
  </si>
  <si>
    <t>Grand Total</t>
  </si>
  <si>
    <t>Year</t>
  </si>
  <si>
    <t>Month</t>
  </si>
  <si>
    <t>January</t>
  </si>
  <si>
    <t>February</t>
  </si>
  <si>
    <t>March</t>
  </si>
  <si>
    <t>April</t>
  </si>
  <si>
    <t>May</t>
  </si>
  <si>
    <t>November</t>
  </si>
  <si>
    <t>December</t>
  </si>
  <si>
    <t>Total Sales</t>
  </si>
  <si>
    <t>Total Unit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</si>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</sst>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3" x14ac:knownFonts="1">
    <font>
      <sz val="10"/>
      <name val="Arial"/>
    </font>
    <font>
      <sz val="10"/>
      <name val="Arial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/>
    <xf numFmtId="0" fontId="0" fillId="0" borderId="0" xfId="0" pivotButton="1"/>
    <xf numFmtId="0" fontId="2" fillId="2" borderId="0" xfId="0" applyFont="1" applyFill="1" applyAlignment="1">
      <alignment horizontal="center"/>
    </xf>
    <xf numFmtId="8" fontId="2" fillId="2" borderId="0" xfId="0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Central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1391555.3000000003</c:v>
              </c:pt>
              <c:pt idx="1">
                <c:v>760122.80000000028</c:v>
              </c:pt>
              <c:pt idx="2">
                <c:v>505968.94999999995</c:v>
              </c:pt>
              <c:pt idx="3">
                <c:v>596929.89999999991</c:v>
              </c:pt>
            </c:numLit>
          </c:val>
          <c:extLst>
            <c:ext xmlns:c16="http://schemas.microsoft.com/office/drawing/2014/chart" uri="{C3380CC4-5D6E-409C-BE32-E72D297353CC}">
              <c16:uniqueId val="{00000000-A439-44FC-894B-8F5C27B3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7390368"/>
        <c:axId val="1880773360"/>
      </c:barChart>
      <c:catAx>
        <c:axId val="19973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73360"/>
        <c:crosses val="autoZero"/>
        <c:auto val="1"/>
        <c:lblAlgn val="ctr"/>
        <c:lblOffset val="100"/>
        <c:noMultiLvlLbl val="0"/>
      </c:catAx>
      <c:valAx>
        <c:axId val="18807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70]#,##0.00;[Red]\-[$₦-470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9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Salesperson</a:t>
            </a:r>
          </a:p>
        </c:rich>
      </c:tx>
      <c:layout>
        <c:manualLayout>
          <c:xMode val="edge"/>
          <c:yMode val="edge"/>
          <c:x val="0.30694444444444446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Bishop</c:v>
              </c:pt>
              <c:pt idx="1">
                <c:v>Lee</c:v>
              </c:pt>
              <c:pt idx="2">
                <c:v>Parker</c:v>
              </c:pt>
              <c:pt idx="3">
                <c:v>Pullen</c:v>
              </c:pt>
              <c:pt idx="4">
                <c:v>Watson</c:v>
              </c:pt>
            </c:strLit>
          </c:cat>
          <c:val>
            <c:numLit>
              <c:formatCode>General</c:formatCode>
              <c:ptCount val="5"/>
              <c:pt idx="0">
                <c:v>596929.89999999991</c:v>
              </c:pt>
              <c:pt idx="1">
                <c:v>740578.39999999991</c:v>
              </c:pt>
              <c:pt idx="2">
                <c:v>760122.80000000028</c:v>
              </c:pt>
              <c:pt idx="3">
                <c:v>505968.94999999995</c:v>
              </c:pt>
              <c:pt idx="4">
                <c:v>650976.90000000026</c:v>
              </c:pt>
            </c:numLit>
          </c:val>
          <c:extLst>
            <c:ext xmlns:c16="http://schemas.microsoft.com/office/drawing/2014/chart" uri="{C3380CC4-5D6E-409C-BE32-E72D297353CC}">
              <c16:uniqueId val="{00000000-7A74-4227-82E2-F5F2A21C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9741744"/>
        <c:axId val="1880788240"/>
      </c:barChart>
      <c:catAx>
        <c:axId val="21397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88240"/>
        <c:crosses val="autoZero"/>
        <c:auto val="1"/>
        <c:lblAlgn val="ctr"/>
        <c:lblOffset val="100"/>
        <c:noMultiLvlLbl val="0"/>
      </c:catAx>
      <c:valAx>
        <c:axId val="18807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4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Frozen Yogurt</c:v>
              </c:pt>
              <c:pt idx="1">
                <c:v>Ice Cream</c:v>
              </c:pt>
              <c:pt idx="2">
                <c:v>Popsicles</c:v>
              </c:pt>
              <c:pt idx="3">
                <c:v>Tasty Treats</c:v>
              </c:pt>
            </c:strLit>
          </c:cat>
          <c:val>
            <c:numLit>
              <c:formatCode>General</c:formatCode>
              <c:ptCount val="4"/>
              <c:pt idx="0">
                <c:v>650077.4999999993</c:v>
              </c:pt>
              <c:pt idx="1">
                <c:v>1379573.2000000011</c:v>
              </c:pt>
              <c:pt idx="2">
                <c:v>384812.60000000021</c:v>
              </c:pt>
              <c:pt idx="3">
                <c:v>840113.65000000061</c:v>
              </c:pt>
            </c:numLit>
          </c:val>
          <c:extLst>
            <c:ext xmlns:c16="http://schemas.microsoft.com/office/drawing/2014/chart" uri="{C3380CC4-5D6E-409C-BE32-E72D297353CC}">
              <c16:uniqueId val="{00000000-470B-4330-AE8D-39AC01651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1135312"/>
        <c:axId val="1880769520"/>
      </c:barChart>
      <c:catAx>
        <c:axId val="33113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69520"/>
        <c:crosses val="autoZero"/>
        <c:auto val="1"/>
        <c:lblAlgn val="ctr"/>
        <c:lblOffset val="100"/>
        <c:noMultiLvlLbl val="0"/>
      </c:catAx>
      <c:valAx>
        <c:axId val="18807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3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strLit>
              <c:ptCount val="3"/>
              <c:pt idx="0">
                <c:v>2013</c:v>
              </c:pt>
              <c:pt idx="1">
                <c:v>2014</c:v>
              </c:pt>
              <c:pt idx="2">
                <c:v>2015</c:v>
              </c:pt>
            </c:strLit>
          </c:cat>
          <c:val>
            <c:numLit>
              <c:formatCode>General</c:formatCode>
              <c:ptCount val="3"/>
              <c:pt idx="0">
                <c:v>1008662.75</c:v>
              </c:pt>
              <c:pt idx="1">
                <c:v>1138686</c:v>
              </c:pt>
              <c:pt idx="2">
                <c:v>1107228.2000000007</c:v>
              </c:pt>
            </c:numLit>
          </c:val>
          <c:extLst>
            <c:ext xmlns:c16="http://schemas.microsoft.com/office/drawing/2014/chart" uri="{C3380CC4-5D6E-409C-BE32-E72D297353CC}">
              <c16:uniqueId val="{00000000-A60C-4E04-B4F4-774AB83CA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120928"/>
        <c:axId val="1749222800"/>
      </c:areaChart>
      <c:catAx>
        <c:axId val="33112092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22800"/>
        <c:crosses val="autoZero"/>
        <c:auto val="1"/>
        <c:lblAlgn val="ctr"/>
        <c:lblOffset val="100"/>
        <c:noMultiLvlLbl val="0"/>
      </c:catAx>
      <c:valAx>
        <c:axId val="17492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2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November</c:v>
              </c:pt>
              <c:pt idx="6">
                <c:v>December</c:v>
              </c:pt>
            </c:strLit>
          </c:cat>
          <c:val>
            <c:numLit>
              <c:formatCode>General</c:formatCode>
              <c:ptCount val="7"/>
              <c:pt idx="0">
                <c:v>513336</c:v>
              </c:pt>
              <c:pt idx="1">
                <c:v>521344.75</c:v>
              </c:pt>
              <c:pt idx="2">
                <c:v>423204.69999999995</c:v>
              </c:pt>
              <c:pt idx="3">
                <c:v>640494.40000000014</c:v>
              </c:pt>
              <c:pt idx="4">
                <c:v>428512.39999999991</c:v>
              </c:pt>
              <c:pt idx="5">
                <c:v>383151.70000000019</c:v>
              </c:pt>
              <c:pt idx="6">
                <c:v>344532.99999999994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1F-4E93-8EFB-0D7F45E86B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20294432"/>
        <c:axId val="1880737840"/>
      </c:lineChart>
      <c:catAx>
        <c:axId val="4202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37840"/>
        <c:crosses val="autoZero"/>
        <c:auto val="1"/>
        <c:lblAlgn val="ctr"/>
        <c:lblOffset val="100"/>
        <c:noMultiLvlLbl val="0"/>
      </c:catAx>
      <c:valAx>
        <c:axId val="1880737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29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229226</xdr:colOff>
      <xdr:row>15</xdr:row>
      <xdr:rowOff>144258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38EAA-A970-4052-BE05-1973E0223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9</xdr:col>
      <xdr:colOff>161690</xdr:colOff>
      <xdr:row>36</xdr:row>
      <xdr:rowOff>121398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C790E-CA74-4D4C-817F-6ACE8144A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9</xdr:col>
      <xdr:colOff>105219</xdr:colOff>
      <xdr:row>56</xdr:row>
      <xdr:rowOff>143632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95D9C2-2C5B-4AFB-A461-7181EDDB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62</xdr:row>
      <xdr:rowOff>0</xdr:rowOff>
    </xdr:from>
    <xdr:to>
      <xdr:col>10</xdr:col>
      <xdr:colOff>560331</xdr:colOff>
      <xdr:row>76</xdr:row>
      <xdr:rowOff>67431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F0ABC0-E5D5-4C4C-9D99-BEAB56FE0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80</xdr:row>
      <xdr:rowOff>0</xdr:rowOff>
    </xdr:from>
    <xdr:to>
      <xdr:col>10</xdr:col>
      <xdr:colOff>482043</xdr:colOff>
      <xdr:row>93</xdr:row>
      <xdr:rowOff>144258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E0C3E3-A4C6-4539-9701-08CD84C30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Excel102Exercises%20(2).xlsx" TargetMode="External"/><Relationship Id="rId2" Type="http://schemas.openxmlformats.org/officeDocument/2006/relationships/externalLinkPath" Target="file:///C:\Users\pc\Downloads\Excel102Exercises%20(2).xlsx" TargetMode="External"/><Relationship Id="rId1" Type="http://schemas.openxmlformats.org/officeDocument/2006/relationships/externalLinkPath" Target="/Users/pc/Downloads/Excel102Exercis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"/>
      <sheetName val="2014"/>
      <sheetName val="2015"/>
      <sheetName val="SUMMARY"/>
      <sheetName val="Employee Records"/>
      <sheetName val="EXPORT EMP RECS"/>
      <sheetName val="Customer Info"/>
      <sheetName val="Order Info"/>
      <sheetName val="Sort &amp; Filter"/>
      <sheetName val="Subtotals"/>
      <sheetName val="Charting"/>
      <sheetName val="Buyers 2015"/>
      <sheetName val="New Hires"/>
      <sheetName val="List Functions"/>
      <sheetName val="Sales Data"/>
      <sheetName val="Pivot-table"/>
      <sheetName val="Sheet1"/>
      <sheetName val="Sheet3"/>
      <sheetName val="2392026"/>
      <sheetName val="DASHBOARD"/>
      <sheetName val="Excel102Exercise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ownloads/Excel102Exercises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8.337339004633" createdVersion="8" refreshedVersion="8" minRefreshableVersion="3" recordCount="444" xr:uid="{84A9FC95-6819-43FF-8399-9B1DF748B173}">
  <cacheSource type="worksheet">
    <worksheetSource name="SaleTable" r:id="rId2"/>
  </cacheSource>
  <cacheFields count="8">
    <cacheField name="Year" numFmtId="0">
      <sharedItems containsSemiMixedTypes="0" containsString="0" containsNumber="1" containsInteger="1" minValue="2013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 count="4">
        <s v="West"/>
        <s v="Central"/>
        <s v="North"/>
        <s v="South"/>
      </sharedItems>
    </cacheField>
    <cacheField name="Sales" numFmtId="8">
      <sharedItems containsSemiMixedTypes="0" containsString="0" containsNumber="1" minValue="196.25" maxValue="14647.5"/>
    </cacheField>
    <cacheField name="Units" numFmtId="0">
      <sharedItems containsSemiMixedTypes="0" containsString="0" containsNumber="1" containsInteger="1" minValue="157" maxValue="9765"/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 pivotCacheId="20114846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x v="0"/>
    <n v="2395.5"/>
    <n v="1597"/>
    <s v="001"/>
  </r>
  <r>
    <x v="0"/>
    <x v="0"/>
    <x v="0"/>
    <x v="0"/>
    <x v="0"/>
    <n v="11761.5"/>
    <n v="7841"/>
    <s v="002"/>
  </r>
  <r>
    <x v="0"/>
    <x v="0"/>
    <x v="1"/>
    <x v="0"/>
    <x v="0"/>
    <n v="8943"/>
    <n v="5962"/>
    <s v="003"/>
  </r>
  <r>
    <x v="0"/>
    <x v="0"/>
    <x v="0"/>
    <x v="0"/>
    <x v="0"/>
    <n v="2395.5"/>
    <n v="1597"/>
    <s v="004"/>
  </r>
  <r>
    <x v="0"/>
    <x v="0"/>
    <x v="0"/>
    <x v="0"/>
    <x v="0"/>
    <n v="11761.5"/>
    <n v="7841"/>
    <s v="005"/>
  </r>
  <r>
    <x v="0"/>
    <x v="0"/>
    <x v="1"/>
    <x v="0"/>
    <x v="0"/>
    <n v="8943"/>
    <n v="5962"/>
    <s v="006"/>
  </r>
  <r>
    <x v="0"/>
    <x v="0"/>
    <x v="1"/>
    <x v="1"/>
    <x v="1"/>
    <n v="14596.5"/>
    <n v="9731"/>
    <s v="007"/>
  </r>
  <r>
    <x v="0"/>
    <x v="0"/>
    <x v="2"/>
    <x v="1"/>
    <x v="1"/>
    <n v="8793"/>
    <n v="5862"/>
    <s v="008"/>
  </r>
  <r>
    <x v="0"/>
    <x v="0"/>
    <x v="1"/>
    <x v="1"/>
    <x v="1"/>
    <n v="14596.5"/>
    <n v="9731"/>
    <s v="009"/>
  </r>
  <r>
    <x v="0"/>
    <x v="0"/>
    <x v="2"/>
    <x v="1"/>
    <x v="1"/>
    <n v="8793"/>
    <n v="5862"/>
    <s v="010"/>
  </r>
  <r>
    <x v="0"/>
    <x v="0"/>
    <x v="0"/>
    <x v="2"/>
    <x v="2"/>
    <n v="4666"/>
    <n v="5623"/>
    <s v="011"/>
  </r>
  <r>
    <x v="0"/>
    <x v="0"/>
    <x v="0"/>
    <x v="2"/>
    <x v="2"/>
    <n v="7318.5"/>
    <n v="4879"/>
    <s v="012"/>
  </r>
  <r>
    <x v="0"/>
    <x v="0"/>
    <x v="0"/>
    <x v="2"/>
    <x v="2"/>
    <n v="5500"/>
    <n v="5623"/>
    <s v="013"/>
  </r>
  <r>
    <x v="0"/>
    <x v="0"/>
    <x v="0"/>
    <x v="2"/>
    <x v="2"/>
    <n v="7318.5"/>
    <n v="4879"/>
    <s v="014"/>
  </r>
  <r>
    <x v="0"/>
    <x v="0"/>
    <x v="3"/>
    <x v="3"/>
    <x v="3"/>
    <n v="3553.5"/>
    <n v="2369"/>
    <s v="015"/>
  </r>
  <r>
    <x v="0"/>
    <x v="0"/>
    <x v="3"/>
    <x v="3"/>
    <x v="3"/>
    <n v="3553.5"/>
    <n v="2369"/>
    <s v="016"/>
  </r>
  <r>
    <x v="0"/>
    <x v="0"/>
    <x v="1"/>
    <x v="4"/>
    <x v="1"/>
    <n v="14596.5"/>
    <n v="9731"/>
    <s v="017"/>
  </r>
  <r>
    <x v="0"/>
    <x v="0"/>
    <x v="2"/>
    <x v="4"/>
    <x v="1"/>
    <n v="8793"/>
    <n v="5862"/>
    <s v="018"/>
  </r>
  <r>
    <x v="0"/>
    <x v="0"/>
    <x v="1"/>
    <x v="4"/>
    <x v="1"/>
    <n v="14596.5"/>
    <n v="9731"/>
    <s v="019"/>
  </r>
  <r>
    <x v="0"/>
    <x v="0"/>
    <x v="2"/>
    <x v="4"/>
    <x v="1"/>
    <n v="8793"/>
    <n v="5862"/>
    <s v="020"/>
  </r>
  <r>
    <x v="0"/>
    <x v="1"/>
    <x v="0"/>
    <x v="0"/>
    <x v="0"/>
    <n v="4887"/>
    <n v="3258"/>
    <s v="021"/>
  </r>
  <r>
    <x v="0"/>
    <x v="1"/>
    <x v="0"/>
    <x v="0"/>
    <x v="0"/>
    <n v="4887"/>
    <n v="3258"/>
    <s v="022"/>
  </r>
  <r>
    <x v="0"/>
    <x v="1"/>
    <x v="2"/>
    <x v="1"/>
    <x v="1"/>
    <n v="11122.5"/>
    <n v="7415"/>
    <s v="023"/>
  </r>
  <r>
    <x v="0"/>
    <x v="1"/>
    <x v="0"/>
    <x v="1"/>
    <x v="1"/>
    <n v="13428"/>
    <n v="8952"/>
    <s v="024"/>
  </r>
  <r>
    <x v="0"/>
    <x v="1"/>
    <x v="2"/>
    <x v="1"/>
    <x v="1"/>
    <n v="14000"/>
    <n v="7415"/>
    <s v="025"/>
  </r>
  <r>
    <x v="0"/>
    <x v="1"/>
    <x v="0"/>
    <x v="1"/>
    <x v="1"/>
    <n v="13428"/>
    <n v="8952"/>
    <s v="026"/>
  </r>
  <r>
    <x v="0"/>
    <x v="1"/>
    <x v="1"/>
    <x v="2"/>
    <x v="2"/>
    <n v="3897"/>
    <n v="2598"/>
    <s v="027"/>
  </r>
  <r>
    <x v="0"/>
    <x v="1"/>
    <x v="1"/>
    <x v="2"/>
    <x v="2"/>
    <n v="8832"/>
    <n v="5888"/>
    <s v="028"/>
  </r>
  <r>
    <x v="0"/>
    <x v="1"/>
    <x v="1"/>
    <x v="2"/>
    <x v="2"/>
    <n v="3000"/>
    <n v="2598"/>
    <s v="029"/>
  </r>
  <r>
    <x v="0"/>
    <x v="1"/>
    <x v="1"/>
    <x v="2"/>
    <x v="2"/>
    <n v="8832"/>
    <n v="5888"/>
    <s v="030"/>
  </r>
  <r>
    <x v="0"/>
    <x v="1"/>
    <x v="2"/>
    <x v="3"/>
    <x v="3"/>
    <n v="11122.5"/>
    <n v="7415"/>
    <s v="031"/>
  </r>
  <r>
    <x v="0"/>
    <x v="1"/>
    <x v="1"/>
    <x v="3"/>
    <x v="3"/>
    <n v="12206.25"/>
    <n v="9765"/>
    <s v="032"/>
  </r>
  <r>
    <x v="0"/>
    <x v="1"/>
    <x v="2"/>
    <x v="3"/>
    <x v="3"/>
    <n v="9268.75"/>
    <n v="7415"/>
    <s v="033"/>
  </r>
  <r>
    <x v="0"/>
    <x v="1"/>
    <x v="1"/>
    <x v="3"/>
    <x v="3"/>
    <n v="12206.25"/>
    <n v="9765"/>
    <s v="034"/>
  </r>
  <r>
    <x v="0"/>
    <x v="1"/>
    <x v="0"/>
    <x v="4"/>
    <x v="1"/>
    <n v="11190"/>
    <n v="8952"/>
    <s v="035"/>
  </r>
  <r>
    <x v="0"/>
    <x v="1"/>
    <x v="3"/>
    <x v="4"/>
    <x v="1"/>
    <n v="6233.75"/>
    <n v="4987"/>
    <s v="036"/>
  </r>
  <r>
    <x v="0"/>
    <x v="1"/>
    <x v="0"/>
    <x v="4"/>
    <x v="1"/>
    <n v="11190"/>
    <n v="8952"/>
    <s v="037"/>
  </r>
  <r>
    <x v="0"/>
    <x v="1"/>
    <x v="3"/>
    <x v="4"/>
    <x v="1"/>
    <n v="6233.75"/>
    <n v="4987"/>
    <s v="038"/>
  </r>
  <r>
    <x v="0"/>
    <x v="2"/>
    <x v="2"/>
    <x v="0"/>
    <x v="0"/>
    <n v="12182.5"/>
    <n v="9746"/>
    <s v="039"/>
  </r>
  <r>
    <x v="0"/>
    <x v="2"/>
    <x v="0"/>
    <x v="0"/>
    <x v="0"/>
    <n v="722.5"/>
    <n v="578"/>
    <s v="040"/>
  </r>
  <r>
    <x v="0"/>
    <x v="2"/>
    <x v="2"/>
    <x v="0"/>
    <x v="0"/>
    <n v="12182.5"/>
    <n v="9746"/>
    <s v="041"/>
  </r>
  <r>
    <x v="0"/>
    <x v="2"/>
    <x v="0"/>
    <x v="0"/>
    <x v="0"/>
    <n v="722.5"/>
    <n v="578"/>
    <s v="042"/>
  </r>
  <r>
    <x v="0"/>
    <x v="2"/>
    <x v="2"/>
    <x v="1"/>
    <x v="1"/>
    <n v="12182.5"/>
    <n v="9746"/>
    <s v="043"/>
  </r>
  <r>
    <x v="0"/>
    <x v="2"/>
    <x v="0"/>
    <x v="1"/>
    <x v="1"/>
    <n v="4483.75"/>
    <n v="3587"/>
    <s v="044"/>
  </r>
  <r>
    <x v="0"/>
    <x v="2"/>
    <x v="2"/>
    <x v="1"/>
    <x v="1"/>
    <n v="12182.5"/>
    <n v="9746"/>
    <s v="045"/>
  </r>
  <r>
    <x v="0"/>
    <x v="2"/>
    <x v="0"/>
    <x v="1"/>
    <x v="1"/>
    <n v="4483.75"/>
    <n v="3587"/>
    <s v="046"/>
  </r>
  <r>
    <x v="0"/>
    <x v="2"/>
    <x v="2"/>
    <x v="2"/>
    <x v="2"/>
    <n v="2956.25"/>
    <n v="2365"/>
    <s v="047"/>
  </r>
  <r>
    <x v="0"/>
    <x v="2"/>
    <x v="1"/>
    <x v="2"/>
    <x v="2"/>
    <n v="12163.75"/>
    <n v="9731"/>
    <s v="048"/>
  </r>
  <r>
    <x v="0"/>
    <x v="2"/>
    <x v="2"/>
    <x v="2"/>
    <x v="2"/>
    <n v="2956.25"/>
    <n v="2365"/>
    <s v="049"/>
  </r>
  <r>
    <x v="0"/>
    <x v="2"/>
    <x v="1"/>
    <x v="2"/>
    <x v="2"/>
    <n v="12163.75"/>
    <n v="9731"/>
    <s v="050"/>
  </r>
  <r>
    <x v="0"/>
    <x v="2"/>
    <x v="1"/>
    <x v="3"/>
    <x v="3"/>
    <n v="1248.75"/>
    <n v="999"/>
    <s v="051"/>
  </r>
  <r>
    <x v="0"/>
    <x v="2"/>
    <x v="2"/>
    <x v="3"/>
    <x v="3"/>
    <n v="196.25"/>
    <n v="157"/>
    <s v="052"/>
  </r>
  <r>
    <x v="0"/>
    <x v="2"/>
    <x v="1"/>
    <x v="3"/>
    <x v="3"/>
    <n v="1248.75"/>
    <n v="999"/>
    <s v="053"/>
  </r>
  <r>
    <x v="0"/>
    <x v="2"/>
    <x v="2"/>
    <x v="3"/>
    <x v="3"/>
    <n v="196.25"/>
    <n v="157"/>
    <s v="054"/>
  </r>
  <r>
    <x v="0"/>
    <x v="2"/>
    <x v="0"/>
    <x v="4"/>
    <x v="1"/>
    <n v="4483.75"/>
    <n v="3587"/>
    <s v="055"/>
  </r>
  <r>
    <x v="0"/>
    <x v="2"/>
    <x v="3"/>
    <x v="4"/>
    <x v="1"/>
    <n v="12038.75"/>
    <n v="9631"/>
    <s v="056"/>
  </r>
  <r>
    <x v="0"/>
    <x v="2"/>
    <x v="0"/>
    <x v="4"/>
    <x v="1"/>
    <n v="4483.75"/>
    <n v="3587"/>
    <s v="057"/>
  </r>
  <r>
    <x v="0"/>
    <x v="2"/>
    <x v="3"/>
    <x v="4"/>
    <x v="1"/>
    <n v="12038.75"/>
    <n v="9631"/>
    <s v="058"/>
  </r>
  <r>
    <x v="0"/>
    <x v="3"/>
    <x v="3"/>
    <x v="0"/>
    <x v="0"/>
    <n v="1972.5"/>
    <n v="1578"/>
    <s v="059"/>
  </r>
  <r>
    <x v="0"/>
    <x v="3"/>
    <x v="2"/>
    <x v="0"/>
    <x v="0"/>
    <n v="5733.75"/>
    <n v="4587"/>
    <s v="060"/>
  </r>
  <r>
    <x v="0"/>
    <x v="3"/>
    <x v="3"/>
    <x v="0"/>
    <x v="0"/>
    <n v="1972.5"/>
    <n v="1578"/>
    <s v="061"/>
  </r>
  <r>
    <x v="0"/>
    <x v="3"/>
    <x v="2"/>
    <x v="0"/>
    <x v="0"/>
    <n v="5733.75"/>
    <n v="4587"/>
    <s v="062"/>
  </r>
  <r>
    <x v="0"/>
    <x v="3"/>
    <x v="0"/>
    <x v="1"/>
    <x v="1"/>
    <n v="9865"/>
    <n v="7892"/>
    <s v="063"/>
  </r>
  <r>
    <x v="0"/>
    <x v="3"/>
    <x v="3"/>
    <x v="1"/>
    <x v="1"/>
    <n v="1972.5"/>
    <n v="1578"/>
    <s v="064"/>
  </r>
  <r>
    <x v="0"/>
    <x v="3"/>
    <x v="0"/>
    <x v="1"/>
    <x v="1"/>
    <n v="5858.75"/>
    <n v="4687"/>
    <s v="065"/>
  </r>
  <r>
    <x v="0"/>
    <x v="3"/>
    <x v="1"/>
    <x v="1"/>
    <x v="1"/>
    <n v="1705"/>
    <n v="1364"/>
    <s v="066"/>
  </r>
  <r>
    <x v="0"/>
    <x v="3"/>
    <x v="0"/>
    <x v="1"/>
    <x v="1"/>
    <n v="9865"/>
    <n v="7892"/>
    <s v="067"/>
  </r>
  <r>
    <x v="0"/>
    <x v="3"/>
    <x v="3"/>
    <x v="1"/>
    <x v="1"/>
    <n v="1972.5"/>
    <n v="1578"/>
    <s v="068"/>
  </r>
  <r>
    <x v="0"/>
    <x v="3"/>
    <x v="0"/>
    <x v="1"/>
    <x v="1"/>
    <n v="5858.75"/>
    <n v="4687"/>
    <s v="069"/>
  </r>
  <r>
    <x v="0"/>
    <x v="3"/>
    <x v="1"/>
    <x v="1"/>
    <x v="1"/>
    <n v="1705"/>
    <n v="1364"/>
    <s v="070"/>
  </r>
  <r>
    <x v="0"/>
    <x v="3"/>
    <x v="2"/>
    <x v="2"/>
    <x v="2"/>
    <n v="7327.5"/>
    <n v="5862"/>
    <s v="071"/>
  </r>
  <r>
    <x v="0"/>
    <x v="3"/>
    <x v="2"/>
    <x v="2"/>
    <x v="2"/>
    <n v="9268.75"/>
    <n v="7415"/>
    <s v="072"/>
  </r>
  <r>
    <x v="0"/>
    <x v="3"/>
    <x v="0"/>
    <x v="2"/>
    <x v="2"/>
    <n v="11190"/>
    <n v="8952"/>
    <s v="073"/>
  </r>
  <r>
    <x v="0"/>
    <x v="3"/>
    <x v="2"/>
    <x v="2"/>
    <x v="2"/>
    <n v="12182.5"/>
    <n v="9746"/>
    <s v="074"/>
  </r>
  <r>
    <x v="0"/>
    <x v="3"/>
    <x v="3"/>
    <x v="2"/>
    <x v="2"/>
    <n v="1972.5"/>
    <n v="1578"/>
    <s v="075"/>
  </r>
  <r>
    <x v="0"/>
    <x v="3"/>
    <x v="2"/>
    <x v="2"/>
    <x v="2"/>
    <n v="7327.5"/>
    <n v="5862"/>
    <s v="076"/>
  </r>
  <r>
    <x v="0"/>
    <x v="3"/>
    <x v="2"/>
    <x v="2"/>
    <x v="2"/>
    <n v="9268.75"/>
    <n v="7415"/>
    <s v="077"/>
  </r>
  <r>
    <x v="0"/>
    <x v="3"/>
    <x v="0"/>
    <x v="2"/>
    <x v="2"/>
    <n v="11190"/>
    <n v="8952"/>
    <s v="078"/>
  </r>
  <r>
    <x v="0"/>
    <x v="3"/>
    <x v="2"/>
    <x v="2"/>
    <x v="2"/>
    <n v="12182.5"/>
    <n v="9746"/>
    <s v="079"/>
  </r>
  <r>
    <x v="0"/>
    <x v="3"/>
    <x v="3"/>
    <x v="2"/>
    <x v="2"/>
    <n v="1972.5"/>
    <n v="1578"/>
    <s v="080"/>
  </r>
  <r>
    <x v="0"/>
    <x v="3"/>
    <x v="0"/>
    <x v="3"/>
    <x v="3"/>
    <n v="9865"/>
    <n v="7892"/>
    <s v="081"/>
  </r>
  <r>
    <x v="0"/>
    <x v="3"/>
    <x v="0"/>
    <x v="3"/>
    <x v="3"/>
    <n v="9982.5"/>
    <n v="7986"/>
    <s v="082"/>
  </r>
  <r>
    <x v="0"/>
    <x v="3"/>
    <x v="0"/>
    <x v="3"/>
    <x v="3"/>
    <n v="9865"/>
    <n v="7892"/>
    <s v="083"/>
  </r>
  <r>
    <x v="0"/>
    <x v="3"/>
    <x v="0"/>
    <x v="3"/>
    <x v="3"/>
    <n v="9982.5"/>
    <n v="7986"/>
    <s v="084"/>
  </r>
  <r>
    <x v="0"/>
    <x v="3"/>
    <x v="0"/>
    <x v="4"/>
    <x v="1"/>
    <n v="5858.75"/>
    <n v="4687"/>
    <s v="085"/>
  </r>
  <r>
    <x v="0"/>
    <x v="3"/>
    <x v="1"/>
    <x v="4"/>
    <x v="1"/>
    <n v="1705"/>
    <n v="1364"/>
    <s v="086"/>
  </r>
  <r>
    <x v="0"/>
    <x v="3"/>
    <x v="0"/>
    <x v="4"/>
    <x v="1"/>
    <n v="5858.75"/>
    <n v="4687"/>
    <s v="087"/>
  </r>
  <r>
    <x v="0"/>
    <x v="3"/>
    <x v="1"/>
    <x v="4"/>
    <x v="1"/>
    <n v="1705"/>
    <n v="1364"/>
    <s v="088"/>
  </r>
  <r>
    <x v="0"/>
    <x v="4"/>
    <x v="1"/>
    <x v="0"/>
    <x v="0"/>
    <n v="622.5"/>
    <n v="498"/>
    <s v="089"/>
  </r>
  <r>
    <x v="0"/>
    <x v="4"/>
    <x v="3"/>
    <x v="0"/>
    <x v="0"/>
    <n v="6118.75"/>
    <n v="4895"/>
    <s v="090"/>
  </r>
  <r>
    <x v="0"/>
    <x v="4"/>
    <x v="1"/>
    <x v="0"/>
    <x v="0"/>
    <n v="622.5"/>
    <n v="498"/>
    <s v="091"/>
  </r>
  <r>
    <x v="0"/>
    <x v="4"/>
    <x v="3"/>
    <x v="0"/>
    <x v="0"/>
    <n v="6118.75"/>
    <n v="4895"/>
    <s v="092"/>
  </r>
  <r>
    <x v="0"/>
    <x v="4"/>
    <x v="3"/>
    <x v="1"/>
    <x v="1"/>
    <n v="6120"/>
    <n v="4896"/>
    <s v="093"/>
  </r>
  <r>
    <x v="0"/>
    <x v="4"/>
    <x v="0"/>
    <x v="1"/>
    <x v="1"/>
    <n v="5733.75"/>
    <n v="4587"/>
    <s v="094"/>
  </r>
  <r>
    <x v="0"/>
    <x v="4"/>
    <x v="3"/>
    <x v="1"/>
    <x v="1"/>
    <n v="6120"/>
    <n v="4896"/>
    <s v="095"/>
  </r>
  <r>
    <x v="0"/>
    <x v="4"/>
    <x v="0"/>
    <x v="1"/>
    <x v="1"/>
    <n v="5733.75"/>
    <n v="4587"/>
    <s v="096"/>
  </r>
  <r>
    <x v="0"/>
    <x v="4"/>
    <x v="0"/>
    <x v="2"/>
    <x v="2"/>
    <n v="4483.75"/>
    <n v="3587"/>
    <s v="097"/>
  </r>
  <r>
    <x v="0"/>
    <x v="4"/>
    <x v="0"/>
    <x v="2"/>
    <x v="2"/>
    <n v="9865"/>
    <n v="7892"/>
    <s v="098"/>
  </r>
  <r>
    <x v="0"/>
    <x v="4"/>
    <x v="0"/>
    <x v="2"/>
    <x v="2"/>
    <n v="4483.75"/>
    <n v="3587"/>
    <s v="099"/>
  </r>
  <r>
    <x v="0"/>
    <x v="4"/>
    <x v="0"/>
    <x v="2"/>
    <x v="2"/>
    <n v="9865"/>
    <n v="7892"/>
    <s v="100"/>
  </r>
  <r>
    <x v="0"/>
    <x v="4"/>
    <x v="3"/>
    <x v="3"/>
    <x v="3"/>
    <n v="6120"/>
    <n v="4896"/>
    <s v="101"/>
  </r>
  <r>
    <x v="0"/>
    <x v="4"/>
    <x v="0"/>
    <x v="3"/>
    <x v="3"/>
    <n v="5733.75"/>
    <n v="4587"/>
    <s v="102"/>
  </r>
  <r>
    <x v="0"/>
    <x v="4"/>
    <x v="0"/>
    <x v="3"/>
    <x v="3"/>
    <n v="6098.75"/>
    <n v="4879"/>
    <s v="103"/>
  </r>
  <r>
    <x v="0"/>
    <x v="4"/>
    <x v="3"/>
    <x v="3"/>
    <x v="3"/>
    <n v="6120"/>
    <n v="4896"/>
    <s v="104"/>
  </r>
  <r>
    <x v="0"/>
    <x v="4"/>
    <x v="0"/>
    <x v="3"/>
    <x v="3"/>
    <n v="5733.75"/>
    <n v="4587"/>
    <s v="105"/>
  </r>
  <r>
    <x v="0"/>
    <x v="4"/>
    <x v="0"/>
    <x v="3"/>
    <x v="3"/>
    <n v="6098.75"/>
    <n v="4879"/>
    <s v="106"/>
  </r>
  <r>
    <x v="0"/>
    <x v="4"/>
    <x v="2"/>
    <x v="4"/>
    <x v="1"/>
    <n v="5733.75"/>
    <n v="4587"/>
    <s v="107"/>
  </r>
  <r>
    <x v="0"/>
    <x v="4"/>
    <x v="0"/>
    <x v="4"/>
    <x v="1"/>
    <n v="7905"/>
    <n v="6324"/>
    <s v="108"/>
  </r>
  <r>
    <x v="0"/>
    <x v="4"/>
    <x v="2"/>
    <x v="4"/>
    <x v="1"/>
    <n v="5733.75"/>
    <n v="4587"/>
    <s v="109"/>
  </r>
  <r>
    <x v="0"/>
    <x v="4"/>
    <x v="0"/>
    <x v="4"/>
    <x v="1"/>
    <n v="7905"/>
    <n v="6324"/>
    <s v="110"/>
  </r>
  <r>
    <x v="0"/>
    <x v="5"/>
    <x v="0"/>
    <x v="0"/>
    <x v="0"/>
    <n v="7028.75"/>
    <n v="5623"/>
    <s v="111"/>
  </r>
  <r>
    <x v="0"/>
    <x v="5"/>
    <x v="0"/>
    <x v="0"/>
    <x v="0"/>
    <n v="9160"/>
    <n v="7328"/>
    <s v="112"/>
  </r>
  <r>
    <x v="0"/>
    <x v="5"/>
    <x v="0"/>
    <x v="0"/>
    <x v="0"/>
    <n v="7028.75"/>
    <n v="5623"/>
    <s v="113"/>
  </r>
  <r>
    <x v="0"/>
    <x v="5"/>
    <x v="0"/>
    <x v="0"/>
    <x v="0"/>
    <n v="9160"/>
    <n v="7328"/>
    <s v="114"/>
  </r>
  <r>
    <x v="0"/>
    <x v="5"/>
    <x v="0"/>
    <x v="1"/>
    <x v="1"/>
    <n v="7028.75"/>
    <n v="5623"/>
    <s v="115"/>
  </r>
  <r>
    <x v="0"/>
    <x v="5"/>
    <x v="1"/>
    <x v="1"/>
    <x v="1"/>
    <n v="3247.5"/>
    <n v="2598"/>
    <s v="116"/>
  </r>
  <r>
    <x v="0"/>
    <x v="5"/>
    <x v="0"/>
    <x v="1"/>
    <x v="1"/>
    <n v="7028.75"/>
    <n v="5623"/>
    <s v="117"/>
  </r>
  <r>
    <x v="0"/>
    <x v="5"/>
    <x v="1"/>
    <x v="1"/>
    <x v="1"/>
    <n v="3247.5"/>
    <n v="2598"/>
    <s v="118"/>
  </r>
  <r>
    <x v="0"/>
    <x v="5"/>
    <x v="1"/>
    <x v="2"/>
    <x v="2"/>
    <n v="622.5"/>
    <n v="498"/>
    <s v="119"/>
  </r>
  <r>
    <x v="0"/>
    <x v="5"/>
    <x v="2"/>
    <x v="2"/>
    <x v="2"/>
    <n v="5733.75"/>
    <n v="4587"/>
    <s v="120"/>
  </r>
  <r>
    <x v="0"/>
    <x v="5"/>
    <x v="1"/>
    <x v="2"/>
    <x v="2"/>
    <n v="622.5"/>
    <n v="498"/>
    <s v="121"/>
  </r>
  <r>
    <x v="0"/>
    <x v="5"/>
    <x v="2"/>
    <x v="2"/>
    <x v="2"/>
    <n v="5733.75"/>
    <n v="4587"/>
    <s v="122"/>
  </r>
  <r>
    <x v="0"/>
    <x v="5"/>
    <x v="1"/>
    <x v="3"/>
    <x v="3"/>
    <n v="3247.5"/>
    <n v="2598"/>
    <s v="123"/>
  </r>
  <r>
    <x v="0"/>
    <x v="5"/>
    <x v="3"/>
    <x v="3"/>
    <x v="3"/>
    <n v="2570"/>
    <n v="2056"/>
    <s v="124"/>
  </r>
  <r>
    <x v="0"/>
    <x v="5"/>
    <x v="1"/>
    <x v="3"/>
    <x v="3"/>
    <n v="3247.5"/>
    <n v="2598"/>
    <s v="125"/>
  </r>
  <r>
    <x v="0"/>
    <x v="5"/>
    <x v="3"/>
    <x v="3"/>
    <x v="3"/>
    <n v="2570"/>
    <n v="2056"/>
    <s v="126"/>
  </r>
  <r>
    <x v="0"/>
    <x v="5"/>
    <x v="2"/>
    <x v="4"/>
    <x v="1"/>
    <n v="10308.75"/>
    <n v="8247"/>
    <s v="127"/>
  </r>
  <r>
    <x v="0"/>
    <x v="5"/>
    <x v="0"/>
    <x v="4"/>
    <x v="1"/>
    <n v="11026.25"/>
    <n v="8821"/>
    <s v="128"/>
  </r>
  <r>
    <x v="0"/>
    <x v="5"/>
    <x v="2"/>
    <x v="4"/>
    <x v="1"/>
    <n v="10308.75"/>
    <n v="8247"/>
    <s v="129"/>
  </r>
  <r>
    <x v="0"/>
    <x v="5"/>
    <x v="0"/>
    <x v="4"/>
    <x v="1"/>
    <n v="11026.25"/>
    <n v="8821"/>
    <s v="130"/>
  </r>
  <r>
    <x v="0"/>
    <x v="6"/>
    <x v="1"/>
    <x v="0"/>
    <x v="0"/>
    <n v="7360"/>
    <n v="5888"/>
    <s v="131"/>
  </r>
  <r>
    <x v="0"/>
    <x v="6"/>
    <x v="0"/>
    <x v="0"/>
    <x v="0"/>
    <n v="11177.5"/>
    <n v="8942"/>
    <s v="132"/>
  </r>
  <r>
    <x v="0"/>
    <x v="6"/>
    <x v="3"/>
    <x v="0"/>
    <x v="0"/>
    <n v="3355"/>
    <n v="2684"/>
    <s v="133"/>
  </r>
  <r>
    <x v="0"/>
    <x v="6"/>
    <x v="1"/>
    <x v="0"/>
    <x v="0"/>
    <n v="7360"/>
    <n v="5888"/>
    <s v="134"/>
  </r>
  <r>
    <x v="0"/>
    <x v="6"/>
    <x v="0"/>
    <x v="0"/>
    <x v="0"/>
    <n v="11177.5"/>
    <n v="8942"/>
    <s v="135"/>
  </r>
  <r>
    <x v="0"/>
    <x v="6"/>
    <x v="3"/>
    <x v="0"/>
    <x v="0"/>
    <n v="3355"/>
    <n v="2684"/>
    <s v="136"/>
  </r>
  <r>
    <x v="0"/>
    <x v="6"/>
    <x v="1"/>
    <x v="1"/>
    <x v="1"/>
    <n v="7360"/>
    <n v="5888"/>
    <s v="137"/>
  </r>
  <r>
    <x v="0"/>
    <x v="6"/>
    <x v="2"/>
    <x v="1"/>
    <x v="1"/>
    <n v="2956.25"/>
    <n v="2365"/>
    <s v="138"/>
  </r>
  <r>
    <x v="0"/>
    <x v="6"/>
    <x v="1"/>
    <x v="1"/>
    <x v="1"/>
    <n v="7360"/>
    <n v="5888"/>
    <s v="139"/>
  </r>
  <r>
    <x v="0"/>
    <x v="6"/>
    <x v="2"/>
    <x v="1"/>
    <x v="1"/>
    <n v="2956.25"/>
    <n v="2365"/>
    <s v="140"/>
  </r>
  <r>
    <x v="0"/>
    <x v="6"/>
    <x v="0"/>
    <x v="2"/>
    <x v="2"/>
    <n v="7905"/>
    <n v="6324"/>
    <s v="141"/>
  </r>
  <r>
    <x v="0"/>
    <x v="6"/>
    <x v="3"/>
    <x v="2"/>
    <x v="2"/>
    <n v="6118.75"/>
    <n v="4895"/>
    <s v="142"/>
  </r>
  <r>
    <x v="0"/>
    <x v="6"/>
    <x v="0"/>
    <x v="2"/>
    <x v="2"/>
    <n v="7905"/>
    <n v="6324"/>
    <s v="143"/>
  </r>
  <r>
    <x v="0"/>
    <x v="6"/>
    <x v="3"/>
    <x v="2"/>
    <x v="2"/>
    <n v="6118.75"/>
    <n v="4895"/>
    <s v="144"/>
  </r>
  <r>
    <x v="0"/>
    <x v="6"/>
    <x v="2"/>
    <x v="3"/>
    <x v="3"/>
    <n v="2956.25"/>
    <n v="2365"/>
    <s v="145"/>
  </r>
  <r>
    <x v="0"/>
    <x v="6"/>
    <x v="0"/>
    <x v="3"/>
    <x v="3"/>
    <n v="2698.75"/>
    <n v="2159"/>
    <s v="146"/>
  </r>
  <r>
    <x v="0"/>
    <x v="6"/>
    <x v="2"/>
    <x v="3"/>
    <x v="3"/>
    <n v="2956.25"/>
    <n v="2365"/>
    <s v="147"/>
  </r>
  <r>
    <x v="0"/>
    <x v="6"/>
    <x v="0"/>
    <x v="3"/>
    <x v="3"/>
    <n v="2698.75"/>
    <n v="2159"/>
    <s v="148"/>
  </r>
  <r>
    <x v="1"/>
    <x v="0"/>
    <x v="0"/>
    <x v="0"/>
    <x v="0"/>
    <n v="2395.5"/>
    <n v="1597"/>
    <s v="149"/>
  </r>
  <r>
    <x v="1"/>
    <x v="0"/>
    <x v="0"/>
    <x v="0"/>
    <x v="0"/>
    <n v="11761.5"/>
    <n v="7841"/>
    <s v="150"/>
  </r>
  <r>
    <x v="1"/>
    <x v="0"/>
    <x v="1"/>
    <x v="0"/>
    <x v="0"/>
    <n v="8943"/>
    <n v="5962"/>
    <s v="151"/>
  </r>
  <r>
    <x v="1"/>
    <x v="0"/>
    <x v="0"/>
    <x v="0"/>
    <x v="0"/>
    <n v="2395.5"/>
    <n v="1597"/>
    <s v="152"/>
  </r>
  <r>
    <x v="1"/>
    <x v="0"/>
    <x v="0"/>
    <x v="0"/>
    <x v="0"/>
    <n v="11761.5"/>
    <n v="7841"/>
    <s v="153"/>
  </r>
  <r>
    <x v="1"/>
    <x v="0"/>
    <x v="1"/>
    <x v="0"/>
    <x v="0"/>
    <n v="8943"/>
    <n v="5962"/>
    <s v="154"/>
  </r>
  <r>
    <x v="1"/>
    <x v="0"/>
    <x v="1"/>
    <x v="1"/>
    <x v="1"/>
    <n v="14596.5"/>
    <n v="9731"/>
    <s v="155"/>
  </r>
  <r>
    <x v="1"/>
    <x v="0"/>
    <x v="2"/>
    <x v="1"/>
    <x v="1"/>
    <n v="8793"/>
    <n v="5862"/>
    <s v="156"/>
  </r>
  <r>
    <x v="1"/>
    <x v="0"/>
    <x v="1"/>
    <x v="1"/>
    <x v="1"/>
    <n v="14596.5"/>
    <n v="9731"/>
    <s v="157"/>
  </r>
  <r>
    <x v="1"/>
    <x v="0"/>
    <x v="2"/>
    <x v="1"/>
    <x v="1"/>
    <n v="8793"/>
    <n v="5862"/>
    <s v="158"/>
  </r>
  <r>
    <x v="1"/>
    <x v="0"/>
    <x v="0"/>
    <x v="2"/>
    <x v="2"/>
    <n v="4666"/>
    <n v="5623"/>
    <s v="159"/>
  </r>
  <r>
    <x v="1"/>
    <x v="0"/>
    <x v="0"/>
    <x v="2"/>
    <x v="2"/>
    <n v="7318.5"/>
    <n v="4879"/>
    <s v="160"/>
  </r>
  <r>
    <x v="1"/>
    <x v="0"/>
    <x v="0"/>
    <x v="2"/>
    <x v="2"/>
    <n v="4666"/>
    <n v="5623"/>
    <s v="161"/>
  </r>
  <r>
    <x v="1"/>
    <x v="0"/>
    <x v="0"/>
    <x v="2"/>
    <x v="2"/>
    <n v="7318.5"/>
    <n v="4879"/>
    <s v="162"/>
  </r>
  <r>
    <x v="1"/>
    <x v="0"/>
    <x v="3"/>
    <x v="3"/>
    <x v="3"/>
    <n v="3553.5"/>
    <n v="2369"/>
    <s v="163"/>
  </r>
  <r>
    <x v="1"/>
    <x v="0"/>
    <x v="3"/>
    <x v="3"/>
    <x v="3"/>
    <n v="3553.5"/>
    <n v="2369"/>
    <s v="164"/>
  </r>
  <r>
    <x v="1"/>
    <x v="0"/>
    <x v="1"/>
    <x v="4"/>
    <x v="1"/>
    <n v="14596.5"/>
    <n v="9731"/>
    <s v="165"/>
  </r>
  <r>
    <x v="1"/>
    <x v="0"/>
    <x v="2"/>
    <x v="4"/>
    <x v="1"/>
    <n v="8793"/>
    <n v="5862"/>
    <s v="166"/>
  </r>
  <r>
    <x v="1"/>
    <x v="0"/>
    <x v="1"/>
    <x v="4"/>
    <x v="1"/>
    <n v="14596.5"/>
    <n v="9731"/>
    <s v="167"/>
  </r>
  <r>
    <x v="1"/>
    <x v="0"/>
    <x v="2"/>
    <x v="4"/>
    <x v="1"/>
    <n v="8793"/>
    <n v="5862"/>
    <s v="168"/>
  </r>
  <r>
    <x v="1"/>
    <x v="1"/>
    <x v="0"/>
    <x v="0"/>
    <x v="0"/>
    <n v="4887"/>
    <n v="3258"/>
    <s v="169"/>
  </r>
  <r>
    <x v="1"/>
    <x v="1"/>
    <x v="0"/>
    <x v="0"/>
    <x v="0"/>
    <n v="4887"/>
    <n v="3258"/>
    <s v="170"/>
  </r>
  <r>
    <x v="1"/>
    <x v="1"/>
    <x v="2"/>
    <x v="1"/>
    <x v="1"/>
    <n v="11122.5"/>
    <n v="7415"/>
    <s v="171"/>
  </r>
  <r>
    <x v="1"/>
    <x v="1"/>
    <x v="0"/>
    <x v="1"/>
    <x v="1"/>
    <n v="13428"/>
    <n v="8952"/>
    <s v="172"/>
  </r>
  <r>
    <x v="1"/>
    <x v="1"/>
    <x v="2"/>
    <x v="1"/>
    <x v="1"/>
    <n v="11122.5"/>
    <n v="7415"/>
    <s v="173"/>
  </r>
  <r>
    <x v="1"/>
    <x v="1"/>
    <x v="0"/>
    <x v="1"/>
    <x v="1"/>
    <n v="13428"/>
    <n v="8952"/>
    <s v="174"/>
  </r>
  <r>
    <x v="1"/>
    <x v="1"/>
    <x v="1"/>
    <x v="2"/>
    <x v="2"/>
    <n v="3897"/>
    <n v="2598"/>
    <s v="175"/>
  </r>
  <r>
    <x v="1"/>
    <x v="1"/>
    <x v="1"/>
    <x v="2"/>
    <x v="2"/>
    <n v="8832"/>
    <n v="5888"/>
    <s v="176"/>
  </r>
  <r>
    <x v="1"/>
    <x v="1"/>
    <x v="1"/>
    <x v="2"/>
    <x v="2"/>
    <n v="3897"/>
    <n v="2598"/>
    <s v="177"/>
  </r>
  <r>
    <x v="1"/>
    <x v="1"/>
    <x v="1"/>
    <x v="2"/>
    <x v="2"/>
    <n v="8832"/>
    <n v="5888"/>
    <s v="178"/>
  </r>
  <r>
    <x v="1"/>
    <x v="1"/>
    <x v="2"/>
    <x v="3"/>
    <x v="3"/>
    <n v="11122.5"/>
    <n v="7415"/>
    <s v="179"/>
  </r>
  <r>
    <x v="1"/>
    <x v="1"/>
    <x v="1"/>
    <x v="3"/>
    <x v="3"/>
    <n v="14647.5"/>
    <n v="9765"/>
    <s v="180"/>
  </r>
  <r>
    <x v="1"/>
    <x v="1"/>
    <x v="2"/>
    <x v="3"/>
    <x v="3"/>
    <n v="11122.5"/>
    <n v="7415"/>
    <s v="181"/>
  </r>
  <r>
    <x v="1"/>
    <x v="1"/>
    <x v="1"/>
    <x v="3"/>
    <x v="3"/>
    <n v="14647.5"/>
    <n v="9765"/>
    <s v="182"/>
  </r>
  <r>
    <x v="1"/>
    <x v="1"/>
    <x v="0"/>
    <x v="4"/>
    <x v="1"/>
    <n v="13428"/>
    <n v="8952"/>
    <s v="183"/>
  </r>
  <r>
    <x v="1"/>
    <x v="1"/>
    <x v="3"/>
    <x v="4"/>
    <x v="1"/>
    <n v="7480.5"/>
    <n v="4987"/>
    <s v="184"/>
  </r>
  <r>
    <x v="1"/>
    <x v="1"/>
    <x v="0"/>
    <x v="4"/>
    <x v="1"/>
    <n v="13428"/>
    <n v="8952"/>
    <s v="185"/>
  </r>
  <r>
    <x v="1"/>
    <x v="1"/>
    <x v="3"/>
    <x v="4"/>
    <x v="1"/>
    <n v="7480.5"/>
    <n v="4987"/>
    <s v="186"/>
  </r>
  <r>
    <x v="1"/>
    <x v="2"/>
    <x v="2"/>
    <x v="0"/>
    <x v="0"/>
    <n v="14619"/>
    <n v="9746"/>
    <s v="187"/>
  </r>
  <r>
    <x v="1"/>
    <x v="2"/>
    <x v="0"/>
    <x v="0"/>
    <x v="0"/>
    <n v="867"/>
    <n v="578"/>
    <s v="188"/>
  </r>
  <r>
    <x v="1"/>
    <x v="2"/>
    <x v="2"/>
    <x v="0"/>
    <x v="0"/>
    <n v="14619"/>
    <n v="9746"/>
    <s v="189"/>
  </r>
  <r>
    <x v="1"/>
    <x v="2"/>
    <x v="0"/>
    <x v="0"/>
    <x v="0"/>
    <n v="867"/>
    <n v="578"/>
    <s v="190"/>
  </r>
  <r>
    <x v="1"/>
    <x v="2"/>
    <x v="2"/>
    <x v="1"/>
    <x v="1"/>
    <n v="14619"/>
    <n v="9746"/>
    <s v="191"/>
  </r>
  <r>
    <x v="1"/>
    <x v="2"/>
    <x v="0"/>
    <x v="1"/>
    <x v="1"/>
    <n v="5380.5"/>
    <n v="3587"/>
    <s v="192"/>
  </r>
  <r>
    <x v="1"/>
    <x v="2"/>
    <x v="2"/>
    <x v="1"/>
    <x v="1"/>
    <n v="14619"/>
    <n v="9746"/>
    <s v="193"/>
  </r>
  <r>
    <x v="1"/>
    <x v="2"/>
    <x v="0"/>
    <x v="1"/>
    <x v="1"/>
    <n v="5380.5"/>
    <n v="3587"/>
    <s v="194"/>
  </r>
  <r>
    <x v="1"/>
    <x v="2"/>
    <x v="2"/>
    <x v="2"/>
    <x v="2"/>
    <n v="3547.5"/>
    <n v="2365"/>
    <s v="195"/>
  </r>
  <r>
    <x v="1"/>
    <x v="2"/>
    <x v="1"/>
    <x v="2"/>
    <x v="2"/>
    <n v="14596.5"/>
    <n v="9731"/>
    <s v="196"/>
  </r>
  <r>
    <x v="1"/>
    <x v="2"/>
    <x v="2"/>
    <x v="2"/>
    <x v="2"/>
    <n v="3547.5"/>
    <n v="2365"/>
    <s v="197"/>
  </r>
  <r>
    <x v="1"/>
    <x v="2"/>
    <x v="1"/>
    <x v="2"/>
    <x v="2"/>
    <n v="14596.5"/>
    <n v="9731"/>
    <s v="198"/>
  </r>
  <r>
    <x v="1"/>
    <x v="2"/>
    <x v="1"/>
    <x v="3"/>
    <x v="3"/>
    <n v="1498.5"/>
    <n v="999"/>
    <s v="199"/>
  </r>
  <r>
    <x v="1"/>
    <x v="2"/>
    <x v="2"/>
    <x v="3"/>
    <x v="3"/>
    <n v="235.5"/>
    <n v="157"/>
    <s v="200"/>
  </r>
  <r>
    <x v="1"/>
    <x v="2"/>
    <x v="1"/>
    <x v="3"/>
    <x v="3"/>
    <n v="1498.5"/>
    <n v="999"/>
    <s v="201"/>
  </r>
  <r>
    <x v="1"/>
    <x v="2"/>
    <x v="2"/>
    <x v="3"/>
    <x v="3"/>
    <n v="235.5"/>
    <n v="157"/>
    <s v="202"/>
  </r>
  <r>
    <x v="1"/>
    <x v="2"/>
    <x v="0"/>
    <x v="4"/>
    <x v="1"/>
    <n v="5380.5"/>
    <n v="3587"/>
    <s v="203"/>
  </r>
  <r>
    <x v="1"/>
    <x v="2"/>
    <x v="3"/>
    <x v="4"/>
    <x v="1"/>
    <n v="14446.5"/>
    <n v="9631"/>
    <s v="204"/>
  </r>
  <r>
    <x v="1"/>
    <x v="2"/>
    <x v="0"/>
    <x v="4"/>
    <x v="1"/>
    <n v="5380.5"/>
    <n v="3587"/>
    <s v="205"/>
  </r>
  <r>
    <x v="1"/>
    <x v="2"/>
    <x v="3"/>
    <x v="4"/>
    <x v="1"/>
    <n v="14446.5"/>
    <n v="9631"/>
    <s v="206"/>
  </r>
  <r>
    <x v="1"/>
    <x v="3"/>
    <x v="3"/>
    <x v="0"/>
    <x v="0"/>
    <n v="2367"/>
    <n v="1578"/>
    <s v="207"/>
  </r>
  <r>
    <x v="1"/>
    <x v="3"/>
    <x v="2"/>
    <x v="0"/>
    <x v="0"/>
    <n v="6880.5"/>
    <n v="4587"/>
    <s v="208"/>
  </r>
  <r>
    <x v="1"/>
    <x v="3"/>
    <x v="3"/>
    <x v="0"/>
    <x v="0"/>
    <n v="2367"/>
    <n v="1578"/>
    <s v="209"/>
  </r>
  <r>
    <x v="1"/>
    <x v="3"/>
    <x v="2"/>
    <x v="0"/>
    <x v="0"/>
    <n v="6880.5"/>
    <n v="4587"/>
    <s v="210"/>
  </r>
  <r>
    <x v="1"/>
    <x v="3"/>
    <x v="0"/>
    <x v="1"/>
    <x v="1"/>
    <n v="11838"/>
    <n v="7892"/>
    <s v="211"/>
  </r>
  <r>
    <x v="1"/>
    <x v="3"/>
    <x v="3"/>
    <x v="1"/>
    <x v="1"/>
    <n v="2367"/>
    <n v="1578"/>
    <s v="212"/>
  </r>
  <r>
    <x v="1"/>
    <x v="3"/>
    <x v="0"/>
    <x v="1"/>
    <x v="1"/>
    <n v="7030.5"/>
    <n v="4687"/>
    <s v="213"/>
  </r>
  <r>
    <x v="1"/>
    <x v="3"/>
    <x v="1"/>
    <x v="1"/>
    <x v="1"/>
    <n v="2046"/>
    <n v="1364"/>
    <s v="214"/>
  </r>
  <r>
    <x v="1"/>
    <x v="3"/>
    <x v="0"/>
    <x v="1"/>
    <x v="1"/>
    <n v="11838"/>
    <n v="7892"/>
    <s v="215"/>
  </r>
  <r>
    <x v="1"/>
    <x v="3"/>
    <x v="3"/>
    <x v="1"/>
    <x v="1"/>
    <n v="2367"/>
    <n v="1578"/>
    <s v="216"/>
  </r>
  <r>
    <x v="1"/>
    <x v="3"/>
    <x v="0"/>
    <x v="1"/>
    <x v="1"/>
    <n v="7030.5"/>
    <n v="4687"/>
    <s v="217"/>
  </r>
  <r>
    <x v="1"/>
    <x v="3"/>
    <x v="1"/>
    <x v="1"/>
    <x v="1"/>
    <n v="2046"/>
    <n v="1364"/>
    <s v="218"/>
  </r>
  <r>
    <x v="1"/>
    <x v="3"/>
    <x v="2"/>
    <x v="2"/>
    <x v="2"/>
    <n v="8793"/>
    <n v="5862"/>
    <s v="219"/>
  </r>
  <r>
    <x v="1"/>
    <x v="3"/>
    <x v="2"/>
    <x v="2"/>
    <x v="2"/>
    <n v="11122.5"/>
    <n v="7415"/>
    <s v="220"/>
  </r>
  <r>
    <x v="1"/>
    <x v="3"/>
    <x v="0"/>
    <x v="2"/>
    <x v="2"/>
    <n v="13428"/>
    <n v="8952"/>
    <s v="221"/>
  </r>
  <r>
    <x v="1"/>
    <x v="3"/>
    <x v="2"/>
    <x v="2"/>
    <x v="2"/>
    <n v="14619"/>
    <n v="9746"/>
    <s v="222"/>
  </r>
  <r>
    <x v="1"/>
    <x v="3"/>
    <x v="3"/>
    <x v="2"/>
    <x v="2"/>
    <n v="2367"/>
    <n v="1578"/>
    <s v="223"/>
  </r>
  <r>
    <x v="1"/>
    <x v="3"/>
    <x v="2"/>
    <x v="2"/>
    <x v="2"/>
    <n v="8793"/>
    <n v="5862"/>
    <s v="224"/>
  </r>
  <r>
    <x v="1"/>
    <x v="3"/>
    <x v="2"/>
    <x v="2"/>
    <x v="2"/>
    <n v="11122.5"/>
    <n v="7415"/>
    <s v="225"/>
  </r>
  <r>
    <x v="1"/>
    <x v="3"/>
    <x v="0"/>
    <x v="2"/>
    <x v="2"/>
    <n v="13428"/>
    <n v="8952"/>
    <s v="226"/>
  </r>
  <r>
    <x v="1"/>
    <x v="3"/>
    <x v="2"/>
    <x v="2"/>
    <x v="2"/>
    <n v="14619"/>
    <n v="9746"/>
    <s v="227"/>
  </r>
  <r>
    <x v="1"/>
    <x v="3"/>
    <x v="3"/>
    <x v="2"/>
    <x v="2"/>
    <n v="2367"/>
    <n v="1578"/>
    <s v="228"/>
  </r>
  <r>
    <x v="1"/>
    <x v="3"/>
    <x v="0"/>
    <x v="3"/>
    <x v="3"/>
    <n v="11838"/>
    <n v="7892"/>
    <s v="229"/>
  </r>
  <r>
    <x v="1"/>
    <x v="3"/>
    <x v="0"/>
    <x v="3"/>
    <x v="3"/>
    <n v="11979"/>
    <n v="7986"/>
    <s v="230"/>
  </r>
  <r>
    <x v="1"/>
    <x v="3"/>
    <x v="0"/>
    <x v="3"/>
    <x v="3"/>
    <n v="11838"/>
    <n v="7892"/>
    <s v="231"/>
  </r>
  <r>
    <x v="1"/>
    <x v="3"/>
    <x v="0"/>
    <x v="3"/>
    <x v="3"/>
    <n v="11979"/>
    <n v="7986"/>
    <s v="232"/>
  </r>
  <r>
    <x v="1"/>
    <x v="3"/>
    <x v="0"/>
    <x v="4"/>
    <x v="1"/>
    <n v="7030.5"/>
    <n v="4687"/>
    <s v="233"/>
  </r>
  <r>
    <x v="1"/>
    <x v="3"/>
    <x v="1"/>
    <x v="4"/>
    <x v="1"/>
    <n v="2046"/>
    <n v="1364"/>
    <s v="234"/>
  </r>
  <r>
    <x v="1"/>
    <x v="3"/>
    <x v="0"/>
    <x v="4"/>
    <x v="1"/>
    <n v="7030.5"/>
    <n v="4687"/>
    <s v="235"/>
  </r>
  <r>
    <x v="1"/>
    <x v="3"/>
    <x v="1"/>
    <x v="4"/>
    <x v="1"/>
    <n v="2046"/>
    <n v="1364"/>
    <s v="236"/>
  </r>
  <r>
    <x v="1"/>
    <x v="4"/>
    <x v="1"/>
    <x v="0"/>
    <x v="0"/>
    <n v="747"/>
    <n v="498"/>
    <s v="237"/>
  </r>
  <r>
    <x v="1"/>
    <x v="4"/>
    <x v="3"/>
    <x v="0"/>
    <x v="0"/>
    <n v="7342.5"/>
    <n v="4895"/>
    <s v="238"/>
  </r>
  <r>
    <x v="1"/>
    <x v="4"/>
    <x v="1"/>
    <x v="0"/>
    <x v="0"/>
    <n v="747"/>
    <n v="498"/>
    <s v="239"/>
  </r>
  <r>
    <x v="1"/>
    <x v="4"/>
    <x v="3"/>
    <x v="0"/>
    <x v="0"/>
    <n v="7342.5"/>
    <n v="4895"/>
    <s v="240"/>
  </r>
  <r>
    <x v="1"/>
    <x v="4"/>
    <x v="3"/>
    <x v="1"/>
    <x v="1"/>
    <n v="7344"/>
    <n v="4896"/>
    <s v="241"/>
  </r>
  <r>
    <x v="1"/>
    <x v="4"/>
    <x v="0"/>
    <x v="1"/>
    <x v="1"/>
    <n v="6880.5"/>
    <n v="4587"/>
    <s v="242"/>
  </r>
  <r>
    <x v="1"/>
    <x v="4"/>
    <x v="3"/>
    <x v="1"/>
    <x v="1"/>
    <n v="7344"/>
    <n v="4896"/>
    <s v="243"/>
  </r>
  <r>
    <x v="1"/>
    <x v="4"/>
    <x v="0"/>
    <x v="1"/>
    <x v="1"/>
    <n v="6880.5"/>
    <n v="4587"/>
    <s v="244"/>
  </r>
  <r>
    <x v="1"/>
    <x v="4"/>
    <x v="0"/>
    <x v="2"/>
    <x v="2"/>
    <n v="5380.5"/>
    <n v="3587"/>
    <s v="245"/>
  </r>
  <r>
    <x v="1"/>
    <x v="4"/>
    <x v="0"/>
    <x v="2"/>
    <x v="2"/>
    <n v="11838"/>
    <n v="7892"/>
    <s v="246"/>
  </r>
  <r>
    <x v="1"/>
    <x v="4"/>
    <x v="0"/>
    <x v="2"/>
    <x v="2"/>
    <n v="5380.5"/>
    <n v="3587"/>
    <s v="247"/>
  </r>
  <r>
    <x v="1"/>
    <x v="4"/>
    <x v="0"/>
    <x v="2"/>
    <x v="2"/>
    <n v="11838"/>
    <n v="7892"/>
    <s v="248"/>
  </r>
  <r>
    <x v="1"/>
    <x v="4"/>
    <x v="3"/>
    <x v="3"/>
    <x v="3"/>
    <n v="7344"/>
    <n v="4896"/>
    <s v="249"/>
  </r>
  <r>
    <x v="1"/>
    <x v="4"/>
    <x v="0"/>
    <x v="3"/>
    <x v="3"/>
    <n v="6880.5"/>
    <n v="4587"/>
    <s v="250"/>
  </r>
  <r>
    <x v="1"/>
    <x v="4"/>
    <x v="0"/>
    <x v="3"/>
    <x v="3"/>
    <n v="7318.5"/>
    <n v="4879"/>
    <s v="251"/>
  </r>
  <r>
    <x v="1"/>
    <x v="4"/>
    <x v="3"/>
    <x v="3"/>
    <x v="3"/>
    <n v="7344"/>
    <n v="4896"/>
    <s v="252"/>
  </r>
  <r>
    <x v="1"/>
    <x v="4"/>
    <x v="0"/>
    <x v="3"/>
    <x v="3"/>
    <n v="6880.5"/>
    <n v="4587"/>
    <s v="253"/>
  </r>
  <r>
    <x v="1"/>
    <x v="4"/>
    <x v="0"/>
    <x v="3"/>
    <x v="3"/>
    <n v="7318.5"/>
    <n v="4879"/>
    <s v="254"/>
  </r>
  <r>
    <x v="1"/>
    <x v="4"/>
    <x v="2"/>
    <x v="4"/>
    <x v="1"/>
    <n v="6880.5"/>
    <n v="4587"/>
    <s v="255"/>
  </r>
  <r>
    <x v="1"/>
    <x v="4"/>
    <x v="0"/>
    <x v="4"/>
    <x v="1"/>
    <n v="9486"/>
    <n v="6324"/>
    <s v="256"/>
  </r>
  <r>
    <x v="1"/>
    <x v="4"/>
    <x v="2"/>
    <x v="4"/>
    <x v="1"/>
    <n v="6880.5"/>
    <n v="4587"/>
    <s v="257"/>
  </r>
  <r>
    <x v="1"/>
    <x v="4"/>
    <x v="0"/>
    <x v="4"/>
    <x v="1"/>
    <n v="9486"/>
    <n v="6324"/>
    <s v="258"/>
  </r>
  <r>
    <x v="1"/>
    <x v="5"/>
    <x v="0"/>
    <x v="0"/>
    <x v="0"/>
    <n v="4666"/>
    <n v="5623"/>
    <s v="259"/>
  </r>
  <r>
    <x v="1"/>
    <x v="5"/>
    <x v="0"/>
    <x v="0"/>
    <x v="0"/>
    <n v="10992"/>
    <n v="7328"/>
    <s v="260"/>
  </r>
  <r>
    <x v="1"/>
    <x v="5"/>
    <x v="0"/>
    <x v="0"/>
    <x v="0"/>
    <n v="4666"/>
    <n v="5623"/>
    <s v="261"/>
  </r>
  <r>
    <x v="1"/>
    <x v="5"/>
    <x v="0"/>
    <x v="0"/>
    <x v="0"/>
    <n v="10992"/>
    <n v="7328"/>
    <s v="262"/>
  </r>
  <r>
    <x v="1"/>
    <x v="5"/>
    <x v="0"/>
    <x v="1"/>
    <x v="1"/>
    <n v="4666"/>
    <n v="5623"/>
    <s v="263"/>
  </r>
  <r>
    <x v="1"/>
    <x v="5"/>
    <x v="1"/>
    <x v="1"/>
    <x v="1"/>
    <n v="3897"/>
    <n v="2598"/>
    <s v="264"/>
  </r>
  <r>
    <x v="1"/>
    <x v="5"/>
    <x v="0"/>
    <x v="1"/>
    <x v="1"/>
    <n v="4666"/>
    <n v="5623"/>
    <s v="265"/>
  </r>
  <r>
    <x v="1"/>
    <x v="5"/>
    <x v="1"/>
    <x v="1"/>
    <x v="1"/>
    <n v="3897"/>
    <n v="2598"/>
    <s v="266"/>
  </r>
  <r>
    <x v="1"/>
    <x v="5"/>
    <x v="1"/>
    <x v="2"/>
    <x v="2"/>
    <n v="747"/>
    <n v="498"/>
    <s v="267"/>
  </r>
  <r>
    <x v="1"/>
    <x v="5"/>
    <x v="2"/>
    <x v="2"/>
    <x v="2"/>
    <n v="6880.5"/>
    <n v="4587"/>
    <s v="268"/>
  </r>
  <r>
    <x v="1"/>
    <x v="5"/>
    <x v="1"/>
    <x v="2"/>
    <x v="2"/>
    <n v="747"/>
    <n v="498"/>
    <s v="269"/>
  </r>
  <r>
    <x v="1"/>
    <x v="5"/>
    <x v="2"/>
    <x v="2"/>
    <x v="2"/>
    <n v="6880.5"/>
    <n v="4587"/>
    <s v="270"/>
  </r>
  <r>
    <x v="1"/>
    <x v="5"/>
    <x v="1"/>
    <x v="3"/>
    <x v="3"/>
    <n v="3897"/>
    <n v="2598"/>
    <s v="271"/>
  </r>
  <r>
    <x v="1"/>
    <x v="5"/>
    <x v="3"/>
    <x v="3"/>
    <x v="3"/>
    <n v="3084"/>
    <n v="2056"/>
    <s v="272"/>
  </r>
  <r>
    <x v="1"/>
    <x v="5"/>
    <x v="1"/>
    <x v="3"/>
    <x v="3"/>
    <n v="3897"/>
    <n v="2598"/>
    <s v="273"/>
  </r>
  <r>
    <x v="1"/>
    <x v="5"/>
    <x v="3"/>
    <x v="3"/>
    <x v="3"/>
    <n v="3084"/>
    <n v="2056"/>
    <s v="274"/>
  </r>
  <r>
    <x v="1"/>
    <x v="5"/>
    <x v="2"/>
    <x v="4"/>
    <x v="1"/>
    <n v="12370.5"/>
    <n v="8247"/>
    <s v="275"/>
  </r>
  <r>
    <x v="1"/>
    <x v="5"/>
    <x v="0"/>
    <x v="4"/>
    <x v="1"/>
    <n v="13231.5"/>
    <n v="8821"/>
    <s v="276"/>
  </r>
  <r>
    <x v="1"/>
    <x v="5"/>
    <x v="2"/>
    <x v="4"/>
    <x v="1"/>
    <n v="12370.5"/>
    <n v="8247"/>
    <s v="277"/>
  </r>
  <r>
    <x v="1"/>
    <x v="5"/>
    <x v="0"/>
    <x v="4"/>
    <x v="1"/>
    <n v="13231.5"/>
    <n v="8821"/>
    <s v="278"/>
  </r>
  <r>
    <x v="1"/>
    <x v="6"/>
    <x v="1"/>
    <x v="0"/>
    <x v="0"/>
    <n v="8832"/>
    <n v="5888"/>
    <s v="279"/>
  </r>
  <r>
    <x v="1"/>
    <x v="6"/>
    <x v="0"/>
    <x v="0"/>
    <x v="0"/>
    <n v="13413"/>
    <n v="8942"/>
    <s v="280"/>
  </r>
  <r>
    <x v="1"/>
    <x v="6"/>
    <x v="3"/>
    <x v="0"/>
    <x v="0"/>
    <n v="4026"/>
    <n v="2684"/>
    <s v="281"/>
  </r>
  <r>
    <x v="1"/>
    <x v="6"/>
    <x v="1"/>
    <x v="0"/>
    <x v="0"/>
    <n v="8832"/>
    <n v="5888"/>
    <s v="282"/>
  </r>
  <r>
    <x v="1"/>
    <x v="6"/>
    <x v="0"/>
    <x v="0"/>
    <x v="0"/>
    <n v="13413"/>
    <n v="8942"/>
    <s v="283"/>
  </r>
  <r>
    <x v="1"/>
    <x v="6"/>
    <x v="3"/>
    <x v="0"/>
    <x v="0"/>
    <n v="4026"/>
    <n v="2684"/>
    <s v="284"/>
  </r>
  <r>
    <x v="1"/>
    <x v="6"/>
    <x v="1"/>
    <x v="1"/>
    <x v="1"/>
    <n v="8832"/>
    <n v="5888"/>
    <s v="285"/>
  </r>
  <r>
    <x v="1"/>
    <x v="6"/>
    <x v="2"/>
    <x v="1"/>
    <x v="1"/>
    <n v="3547.5"/>
    <n v="2365"/>
    <s v="286"/>
  </r>
  <r>
    <x v="1"/>
    <x v="6"/>
    <x v="1"/>
    <x v="1"/>
    <x v="1"/>
    <n v="8832"/>
    <n v="5888"/>
    <s v="287"/>
  </r>
  <r>
    <x v="1"/>
    <x v="6"/>
    <x v="2"/>
    <x v="1"/>
    <x v="1"/>
    <n v="3547.5"/>
    <n v="2365"/>
    <s v="288"/>
  </r>
  <r>
    <x v="1"/>
    <x v="6"/>
    <x v="0"/>
    <x v="2"/>
    <x v="2"/>
    <n v="9486"/>
    <n v="6324"/>
    <s v="289"/>
  </r>
  <r>
    <x v="1"/>
    <x v="6"/>
    <x v="3"/>
    <x v="2"/>
    <x v="2"/>
    <n v="7342.5"/>
    <n v="4895"/>
    <s v="290"/>
  </r>
  <r>
    <x v="1"/>
    <x v="6"/>
    <x v="0"/>
    <x v="2"/>
    <x v="2"/>
    <n v="9486"/>
    <n v="6324"/>
    <s v="291"/>
  </r>
  <r>
    <x v="1"/>
    <x v="6"/>
    <x v="3"/>
    <x v="2"/>
    <x v="2"/>
    <n v="7342.5"/>
    <n v="4895"/>
    <s v="292"/>
  </r>
  <r>
    <x v="1"/>
    <x v="6"/>
    <x v="2"/>
    <x v="3"/>
    <x v="3"/>
    <n v="3547.5"/>
    <n v="2365"/>
    <s v="293"/>
  </r>
  <r>
    <x v="1"/>
    <x v="6"/>
    <x v="0"/>
    <x v="3"/>
    <x v="3"/>
    <n v="3238.5"/>
    <n v="2159"/>
    <s v="294"/>
  </r>
  <r>
    <x v="1"/>
    <x v="6"/>
    <x v="2"/>
    <x v="3"/>
    <x v="3"/>
    <n v="3547.5"/>
    <n v="2365"/>
    <s v="295"/>
  </r>
  <r>
    <x v="1"/>
    <x v="6"/>
    <x v="0"/>
    <x v="3"/>
    <x v="3"/>
    <n v="3238.5"/>
    <n v="2159"/>
    <s v="296"/>
  </r>
  <r>
    <x v="2"/>
    <x v="0"/>
    <x v="0"/>
    <x v="0"/>
    <x v="0"/>
    <n v="2395.5"/>
    <n v="1597"/>
    <s v="297"/>
  </r>
  <r>
    <x v="2"/>
    <x v="0"/>
    <x v="0"/>
    <x v="0"/>
    <x v="0"/>
    <n v="11761.5"/>
    <n v="7841"/>
    <s v="298"/>
  </r>
  <r>
    <x v="2"/>
    <x v="0"/>
    <x v="1"/>
    <x v="0"/>
    <x v="0"/>
    <n v="8943"/>
    <n v="5962"/>
    <s v="299"/>
  </r>
  <r>
    <x v="2"/>
    <x v="0"/>
    <x v="0"/>
    <x v="0"/>
    <x v="0"/>
    <n v="2395.5"/>
    <n v="1597"/>
    <s v="300"/>
  </r>
  <r>
    <x v="2"/>
    <x v="0"/>
    <x v="0"/>
    <x v="0"/>
    <x v="0"/>
    <n v="11761.5"/>
    <n v="7841"/>
    <s v="301"/>
  </r>
  <r>
    <x v="2"/>
    <x v="0"/>
    <x v="1"/>
    <x v="0"/>
    <x v="0"/>
    <n v="8943"/>
    <n v="5962"/>
    <s v="302"/>
  </r>
  <r>
    <x v="2"/>
    <x v="0"/>
    <x v="1"/>
    <x v="1"/>
    <x v="1"/>
    <n v="14596.5"/>
    <n v="9731"/>
    <s v="303"/>
  </r>
  <r>
    <x v="2"/>
    <x v="0"/>
    <x v="2"/>
    <x v="1"/>
    <x v="1"/>
    <n v="8793"/>
    <n v="5862"/>
    <s v="304"/>
  </r>
  <r>
    <x v="2"/>
    <x v="0"/>
    <x v="1"/>
    <x v="1"/>
    <x v="1"/>
    <n v="14596.5"/>
    <n v="9731"/>
    <s v="305"/>
  </r>
  <r>
    <x v="2"/>
    <x v="0"/>
    <x v="2"/>
    <x v="1"/>
    <x v="1"/>
    <n v="8793"/>
    <n v="5862"/>
    <s v="306"/>
  </r>
  <r>
    <x v="2"/>
    <x v="0"/>
    <x v="0"/>
    <x v="2"/>
    <x v="2"/>
    <n v="4666"/>
    <n v="5623"/>
    <s v="307"/>
  </r>
  <r>
    <x v="2"/>
    <x v="0"/>
    <x v="0"/>
    <x v="2"/>
    <x v="2"/>
    <n v="7318.5"/>
    <n v="4879"/>
    <s v="308"/>
  </r>
  <r>
    <x v="2"/>
    <x v="0"/>
    <x v="0"/>
    <x v="2"/>
    <x v="2"/>
    <n v="4666"/>
    <n v="5623"/>
    <s v="309"/>
  </r>
  <r>
    <x v="2"/>
    <x v="0"/>
    <x v="0"/>
    <x v="2"/>
    <x v="2"/>
    <n v="7318.5"/>
    <n v="4879"/>
    <s v="310"/>
  </r>
  <r>
    <x v="2"/>
    <x v="0"/>
    <x v="3"/>
    <x v="3"/>
    <x v="3"/>
    <n v="3553.5"/>
    <n v="2369"/>
    <s v="311"/>
  </r>
  <r>
    <x v="2"/>
    <x v="0"/>
    <x v="3"/>
    <x v="3"/>
    <x v="3"/>
    <n v="3553.5"/>
    <n v="2369"/>
    <s v="312"/>
  </r>
  <r>
    <x v="2"/>
    <x v="0"/>
    <x v="1"/>
    <x v="4"/>
    <x v="1"/>
    <n v="14596.5"/>
    <n v="9731"/>
    <s v="313"/>
  </r>
  <r>
    <x v="2"/>
    <x v="0"/>
    <x v="2"/>
    <x v="4"/>
    <x v="1"/>
    <n v="8793"/>
    <n v="5862"/>
    <s v="314"/>
  </r>
  <r>
    <x v="2"/>
    <x v="0"/>
    <x v="1"/>
    <x v="4"/>
    <x v="1"/>
    <n v="14596.5"/>
    <n v="9731"/>
    <s v="315"/>
  </r>
  <r>
    <x v="2"/>
    <x v="0"/>
    <x v="2"/>
    <x v="4"/>
    <x v="1"/>
    <n v="8793"/>
    <n v="5862"/>
    <s v="316"/>
  </r>
  <r>
    <x v="2"/>
    <x v="1"/>
    <x v="0"/>
    <x v="0"/>
    <x v="0"/>
    <n v="4887"/>
    <n v="3258"/>
    <s v="317"/>
  </r>
  <r>
    <x v="2"/>
    <x v="1"/>
    <x v="0"/>
    <x v="0"/>
    <x v="0"/>
    <n v="4887"/>
    <n v="3258"/>
    <s v="318"/>
  </r>
  <r>
    <x v="2"/>
    <x v="1"/>
    <x v="2"/>
    <x v="1"/>
    <x v="1"/>
    <n v="11122.5"/>
    <n v="7415"/>
    <s v="319"/>
  </r>
  <r>
    <x v="2"/>
    <x v="1"/>
    <x v="0"/>
    <x v="1"/>
    <x v="1"/>
    <n v="13428"/>
    <n v="8952"/>
    <s v="320"/>
  </r>
  <r>
    <x v="2"/>
    <x v="1"/>
    <x v="2"/>
    <x v="1"/>
    <x v="1"/>
    <n v="11122.5"/>
    <n v="7415"/>
    <s v="321"/>
  </r>
  <r>
    <x v="2"/>
    <x v="1"/>
    <x v="0"/>
    <x v="1"/>
    <x v="1"/>
    <n v="13428"/>
    <n v="8952"/>
    <s v="322"/>
  </r>
  <r>
    <x v="2"/>
    <x v="1"/>
    <x v="1"/>
    <x v="2"/>
    <x v="2"/>
    <n v="3897"/>
    <n v="2598"/>
    <s v="323"/>
  </r>
  <r>
    <x v="2"/>
    <x v="1"/>
    <x v="1"/>
    <x v="2"/>
    <x v="2"/>
    <n v="8832"/>
    <n v="5888"/>
    <s v="324"/>
  </r>
  <r>
    <x v="2"/>
    <x v="1"/>
    <x v="1"/>
    <x v="2"/>
    <x v="2"/>
    <n v="3897"/>
    <n v="2598"/>
    <s v="325"/>
  </r>
  <r>
    <x v="2"/>
    <x v="1"/>
    <x v="1"/>
    <x v="2"/>
    <x v="2"/>
    <n v="8832"/>
    <n v="5888"/>
    <s v="326"/>
  </r>
  <r>
    <x v="2"/>
    <x v="1"/>
    <x v="2"/>
    <x v="3"/>
    <x v="3"/>
    <n v="11122.5"/>
    <n v="7415"/>
    <s v="327"/>
  </r>
  <r>
    <x v="2"/>
    <x v="1"/>
    <x v="1"/>
    <x v="3"/>
    <x v="3"/>
    <n v="14647.5"/>
    <n v="9765"/>
    <s v="328"/>
  </r>
  <r>
    <x v="2"/>
    <x v="1"/>
    <x v="2"/>
    <x v="3"/>
    <x v="3"/>
    <n v="11122.5"/>
    <n v="7415"/>
    <s v="329"/>
  </r>
  <r>
    <x v="2"/>
    <x v="1"/>
    <x v="1"/>
    <x v="3"/>
    <x v="3"/>
    <n v="14647.5"/>
    <n v="9765"/>
    <s v="330"/>
  </r>
  <r>
    <x v="2"/>
    <x v="1"/>
    <x v="0"/>
    <x v="4"/>
    <x v="1"/>
    <n v="13428"/>
    <n v="8952"/>
    <s v="331"/>
  </r>
  <r>
    <x v="2"/>
    <x v="1"/>
    <x v="3"/>
    <x v="4"/>
    <x v="1"/>
    <n v="7480.5"/>
    <n v="4987"/>
    <s v="332"/>
  </r>
  <r>
    <x v="2"/>
    <x v="1"/>
    <x v="0"/>
    <x v="4"/>
    <x v="1"/>
    <n v="13428"/>
    <n v="8952"/>
    <s v="333"/>
  </r>
  <r>
    <x v="2"/>
    <x v="1"/>
    <x v="3"/>
    <x v="4"/>
    <x v="1"/>
    <n v="7480.5"/>
    <n v="4987"/>
    <s v="334"/>
  </r>
  <r>
    <x v="2"/>
    <x v="2"/>
    <x v="2"/>
    <x v="0"/>
    <x v="0"/>
    <n v="14619"/>
    <n v="9746"/>
    <s v="335"/>
  </r>
  <r>
    <x v="2"/>
    <x v="2"/>
    <x v="0"/>
    <x v="0"/>
    <x v="0"/>
    <n v="867"/>
    <n v="578"/>
    <s v="336"/>
  </r>
  <r>
    <x v="2"/>
    <x v="2"/>
    <x v="2"/>
    <x v="0"/>
    <x v="0"/>
    <n v="14619"/>
    <n v="9746"/>
    <s v="337"/>
  </r>
  <r>
    <x v="2"/>
    <x v="2"/>
    <x v="0"/>
    <x v="0"/>
    <x v="0"/>
    <n v="867"/>
    <n v="578"/>
    <s v="338"/>
  </r>
  <r>
    <x v="2"/>
    <x v="2"/>
    <x v="2"/>
    <x v="1"/>
    <x v="1"/>
    <n v="14619"/>
    <n v="9746"/>
    <s v="339"/>
  </r>
  <r>
    <x v="2"/>
    <x v="2"/>
    <x v="0"/>
    <x v="1"/>
    <x v="1"/>
    <n v="5380.5"/>
    <n v="3587"/>
    <s v="340"/>
  </r>
  <r>
    <x v="2"/>
    <x v="2"/>
    <x v="2"/>
    <x v="1"/>
    <x v="1"/>
    <n v="14619"/>
    <n v="9746"/>
    <s v="341"/>
  </r>
  <r>
    <x v="2"/>
    <x v="2"/>
    <x v="0"/>
    <x v="1"/>
    <x v="1"/>
    <n v="5380.5"/>
    <n v="3587"/>
    <s v="342"/>
  </r>
  <r>
    <x v="2"/>
    <x v="2"/>
    <x v="2"/>
    <x v="2"/>
    <x v="2"/>
    <n v="3547.5"/>
    <n v="2365"/>
    <s v="343"/>
  </r>
  <r>
    <x v="2"/>
    <x v="2"/>
    <x v="1"/>
    <x v="2"/>
    <x v="2"/>
    <n v="14596.5"/>
    <n v="9731"/>
    <s v="344"/>
  </r>
  <r>
    <x v="2"/>
    <x v="2"/>
    <x v="2"/>
    <x v="2"/>
    <x v="2"/>
    <n v="3547.5"/>
    <n v="2365"/>
    <s v="345"/>
  </r>
  <r>
    <x v="2"/>
    <x v="2"/>
    <x v="1"/>
    <x v="2"/>
    <x v="2"/>
    <n v="14596.5"/>
    <n v="9731"/>
    <s v="346"/>
  </r>
  <r>
    <x v="2"/>
    <x v="2"/>
    <x v="1"/>
    <x v="3"/>
    <x v="3"/>
    <n v="1398.6"/>
    <n v="999"/>
    <s v="347"/>
  </r>
  <r>
    <x v="2"/>
    <x v="2"/>
    <x v="2"/>
    <x v="3"/>
    <x v="3"/>
    <n v="219.79999999999998"/>
    <n v="157"/>
    <s v="348"/>
  </r>
  <r>
    <x v="2"/>
    <x v="2"/>
    <x v="1"/>
    <x v="3"/>
    <x v="3"/>
    <n v="1398.6"/>
    <n v="999"/>
    <s v="349"/>
  </r>
  <r>
    <x v="2"/>
    <x v="2"/>
    <x v="2"/>
    <x v="3"/>
    <x v="3"/>
    <n v="219.79999999999998"/>
    <n v="157"/>
    <s v="350"/>
  </r>
  <r>
    <x v="2"/>
    <x v="2"/>
    <x v="0"/>
    <x v="4"/>
    <x v="1"/>
    <n v="5021.7999999999993"/>
    <n v="3587"/>
    <s v="351"/>
  </r>
  <r>
    <x v="2"/>
    <x v="2"/>
    <x v="3"/>
    <x v="4"/>
    <x v="1"/>
    <n v="13483.4"/>
    <n v="9631"/>
    <s v="352"/>
  </r>
  <r>
    <x v="2"/>
    <x v="2"/>
    <x v="0"/>
    <x v="4"/>
    <x v="1"/>
    <n v="5021.7999999999993"/>
    <n v="3587"/>
    <s v="353"/>
  </r>
  <r>
    <x v="2"/>
    <x v="2"/>
    <x v="3"/>
    <x v="4"/>
    <x v="1"/>
    <n v="13483.4"/>
    <n v="9631"/>
    <s v="354"/>
  </r>
  <r>
    <x v="2"/>
    <x v="3"/>
    <x v="3"/>
    <x v="0"/>
    <x v="0"/>
    <n v="2209.1999999999998"/>
    <n v="1578"/>
    <s v="355"/>
  </r>
  <r>
    <x v="2"/>
    <x v="3"/>
    <x v="2"/>
    <x v="0"/>
    <x v="0"/>
    <n v="6421.7999999999993"/>
    <n v="4587"/>
    <s v="356"/>
  </r>
  <r>
    <x v="2"/>
    <x v="3"/>
    <x v="3"/>
    <x v="0"/>
    <x v="0"/>
    <n v="2209.1999999999998"/>
    <n v="1578"/>
    <s v="357"/>
  </r>
  <r>
    <x v="2"/>
    <x v="3"/>
    <x v="2"/>
    <x v="0"/>
    <x v="0"/>
    <n v="6421.7999999999993"/>
    <n v="4587"/>
    <s v="358"/>
  </r>
  <r>
    <x v="2"/>
    <x v="3"/>
    <x v="0"/>
    <x v="1"/>
    <x v="1"/>
    <n v="11048.8"/>
    <n v="7892"/>
    <s v="359"/>
  </r>
  <r>
    <x v="2"/>
    <x v="3"/>
    <x v="3"/>
    <x v="1"/>
    <x v="1"/>
    <n v="2209.1999999999998"/>
    <n v="1578"/>
    <s v="360"/>
  </r>
  <r>
    <x v="2"/>
    <x v="3"/>
    <x v="0"/>
    <x v="1"/>
    <x v="1"/>
    <n v="6561.7999999999993"/>
    <n v="4687"/>
    <s v="361"/>
  </r>
  <r>
    <x v="2"/>
    <x v="3"/>
    <x v="1"/>
    <x v="1"/>
    <x v="1"/>
    <n v="1909.6"/>
    <n v="1364"/>
    <s v="362"/>
  </r>
  <r>
    <x v="2"/>
    <x v="3"/>
    <x v="0"/>
    <x v="1"/>
    <x v="1"/>
    <n v="11048.8"/>
    <n v="7892"/>
    <s v="363"/>
  </r>
  <r>
    <x v="2"/>
    <x v="3"/>
    <x v="3"/>
    <x v="1"/>
    <x v="1"/>
    <n v="2209.1999999999998"/>
    <n v="1578"/>
    <s v="364"/>
  </r>
  <r>
    <x v="2"/>
    <x v="3"/>
    <x v="0"/>
    <x v="1"/>
    <x v="1"/>
    <n v="6561.7999999999993"/>
    <n v="4687"/>
    <s v="365"/>
  </r>
  <r>
    <x v="2"/>
    <x v="3"/>
    <x v="1"/>
    <x v="1"/>
    <x v="1"/>
    <n v="1909.6"/>
    <n v="1364"/>
    <s v="366"/>
  </r>
  <r>
    <x v="2"/>
    <x v="3"/>
    <x v="2"/>
    <x v="2"/>
    <x v="2"/>
    <n v="8206.7999999999993"/>
    <n v="5862"/>
    <s v="367"/>
  </r>
  <r>
    <x v="2"/>
    <x v="3"/>
    <x v="2"/>
    <x v="2"/>
    <x v="2"/>
    <n v="10381"/>
    <n v="7415"/>
    <s v="368"/>
  </r>
  <r>
    <x v="2"/>
    <x v="3"/>
    <x v="0"/>
    <x v="2"/>
    <x v="2"/>
    <n v="12532.8"/>
    <n v="8952"/>
    <s v="369"/>
  </r>
  <r>
    <x v="2"/>
    <x v="3"/>
    <x v="2"/>
    <x v="2"/>
    <x v="2"/>
    <n v="13644.4"/>
    <n v="9746"/>
    <s v="370"/>
  </r>
  <r>
    <x v="2"/>
    <x v="3"/>
    <x v="3"/>
    <x v="2"/>
    <x v="2"/>
    <n v="2209.1999999999998"/>
    <n v="1578"/>
    <s v="371"/>
  </r>
  <r>
    <x v="2"/>
    <x v="3"/>
    <x v="2"/>
    <x v="2"/>
    <x v="2"/>
    <n v="8206.7999999999993"/>
    <n v="5862"/>
    <s v="372"/>
  </r>
  <r>
    <x v="2"/>
    <x v="3"/>
    <x v="2"/>
    <x v="2"/>
    <x v="2"/>
    <n v="10381"/>
    <n v="7415"/>
    <s v="373"/>
  </r>
  <r>
    <x v="2"/>
    <x v="3"/>
    <x v="0"/>
    <x v="2"/>
    <x v="2"/>
    <n v="12532.8"/>
    <n v="8952"/>
    <s v="374"/>
  </r>
  <r>
    <x v="2"/>
    <x v="3"/>
    <x v="2"/>
    <x v="2"/>
    <x v="2"/>
    <n v="13644.4"/>
    <n v="9746"/>
    <s v="375"/>
  </r>
  <r>
    <x v="2"/>
    <x v="3"/>
    <x v="3"/>
    <x v="2"/>
    <x v="2"/>
    <n v="2209.1999999999998"/>
    <n v="1578"/>
    <s v="376"/>
  </r>
  <r>
    <x v="2"/>
    <x v="3"/>
    <x v="0"/>
    <x v="3"/>
    <x v="3"/>
    <n v="11048.8"/>
    <n v="7892"/>
    <s v="377"/>
  </r>
  <r>
    <x v="2"/>
    <x v="3"/>
    <x v="0"/>
    <x v="3"/>
    <x v="3"/>
    <n v="11180.4"/>
    <n v="7986"/>
    <s v="378"/>
  </r>
  <r>
    <x v="2"/>
    <x v="3"/>
    <x v="0"/>
    <x v="3"/>
    <x v="3"/>
    <n v="11048.8"/>
    <n v="7892"/>
    <s v="379"/>
  </r>
  <r>
    <x v="2"/>
    <x v="3"/>
    <x v="0"/>
    <x v="3"/>
    <x v="3"/>
    <n v="11180.4"/>
    <n v="7986"/>
    <s v="380"/>
  </r>
  <r>
    <x v="2"/>
    <x v="3"/>
    <x v="0"/>
    <x v="4"/>
    <x v="1"/>
    <n v="6561.7999999999993"/>
    <n v="4687"/>
    <s v="381"/>
  </r>
  <r>
    <x v="2"/>
    <x v="3"/>
    <x v="1"/>
    <x v="4"/>
    <x v="1"/>
    <n v="1909.6"/>
    <n v="1364"/>
    <s v="382"/>
  </r>
  <r>
    <x v="2"/>
    <x v="3"/>
    <x v="0"/>
    <x v="4"/>
    <x v="1"/>
    <n v="6561.7999999999993"/>
    <n v="4687"/>
    <s v="383"/>
  </r>
  <r>
    <x v="2"/>
    <x v="3"/>
    <x v="1"/>
    <x v="4"/>
    <x v="1"/>
    <n v="1909.6"/>
    <n v="1364"/>
    <s v="384"/>
  </r>
  <r>
    <x v="2"/>
    <x v="4"/>
    <x v="1"/>
    <x v="0"/>
    <x v="0"/>
    <n v="697.19999999999993"/>
    <n v="498"/>
    <s v="385"/>
  </r>
  <r>
    <x v="2"/>
    <x v="4"/>
    <x v="3"/>
    <x v="0"/>
    <x v="0"/>
    <n v="6853"/>
    <n v="4895"/>
    <s v="386"/>
  </r>
  <r>
    <x v="2"/>
    <x v="4"/>
    <x v="1"/>
    <x v="0"/>
    <x v="0"/>
    <n v="697.19999999999993"/>
    <n v="498"/>
    <s v="387"/>
  </r>
  <r>
    <x v="2"/>
    <x v="4"/>
    <x v="3"/>
    <x v="0"/>
    <x v="0"/>
    <n v="6853"/>
    <n v="4895"/>
    <s v="388"/>
  </r>
  <r>
    <x v="2"/>
    <x v="4"/>
    <x v="3"/>
    <x v="1"/>
    <x v="1"/>
    <n v="6854.4"/>
    <n v="4896"/>
    <s v="389"/>
  </r>
  <r>
    <x v="2"/>
    <x v="4"/>
    <x v="0"/>
    <x v="1"/>
    <x v="1"/>
    <n v="6421.7999999999993"/>
    <n v="4587"/>
    <s v="390"/>
  </r>
  <r>
    <x v="2"/>
    <x v="4"/>
    <x v="3"/>
    <x v="1"/>
    <x v="1"/>
    <n v="6854.4"/>
    <n v="4896"/>
    <s v="391"/>
  </r>
  <r>
    <x v="2"/>
    <x v="4"/>
    <x v="0"/>
    <x v="1"/>
    <x v="1"/>
    <n v="6421.7999999999993"/>
    <n v="4587"/>
    <s v="392"/>
  </r>
  <r>
    <x v="2"/>
    <x v="4"/>
    <x v="0"/>
    <x v="2"/>
    <x v="2"/>
    <n v="5021.7999999999993"/>
    <n v="3587"/>
    <s v="393"/>
  </r>
  <r>
    <x v="2"/>
    <x v="4"/>
    <x v="0"/>
    <x v="2"/>
    <x v="2"/>
    <n v="11048.8"/>
    <n v="7892"/>
    <s v="394"/>
  </r>
  <r>
    <x v="2"/>
    <x v="4"/>
    <x v="0"/>
    <x v="2"/>
    <x v="2"/>
    <n v="5021.7999999999993"/>
    <n v="3587"/>
    <s v="395"/>
  </r>
  <r>
    <x v="2"/>
    <x v="4"/>
    <x v="0"/>
    <x v="2"/>
    <x v="2"/>
    <n v="11048.8"/>
    <n v="7892"/>
    <s v="396"/>
  </r>
  <r>
    <x v="2"/>
    <x v="4"/>
    <x v="3"/>
    <x v="3"/>
    <x v="3"/>
    <n v="6854.4"/>
    <n v="4896"/>
    <s v="397"/>
  </r>
  <r>
    <x v="2"/>
    <x v="4"/>
    <x v="0"/>
    <x v="3"/>
    <x v="3"/>
    <n v="6421.7999999999993"/>
    <n v="4587"/>
    <s v="398"/>
  </r>
  <r>
    <x v="2"/>
    <x v="4"/>
    <x v="0"/>
    <x v="3"/>
    <x v="3"/>
    <n v="6830.5999999999995"/>
    <n v="4879"/>
    <s v="399"/>
  </r>
  <r>
    <x v="2"/>
    <x v="4"/>
    <x v="3"/>
    <x v="3"/>
    <x v="3"/>
    <n v="6854.4"/>
    <n v="4896"/>
    <s v="400"/>
  </r>
  <r>
    <x v="2"/>
    <x v="4"/>
    <x v="0"/>
    <x v="3"/>
    <x v="3"/>
    <n v="6421.7999999999993"/>
    <n v="4587"/>
    <s v="401"/>
  </r>
  <r>
    <x v="2"/>
    <x v="4"/>
    <x v="0"/>
    <x v="3"/>
    <x v="3"/>
    <n v="6830.5999999999995"/>
    <n v="4879"/>
    <s v="402"/>
  </r>
  <r>
    <x v="2"/>
    <x v="4"/>
    <x v="2"/>
    <x v="4"/>
    <x v="1"/>
    <n v="6421.7999999999993"/>
    <n v="4587"/>
    <s v="403"/>
  </r>
  <r>
    <x v="2"/>
    <x v="4"/>
    <x v="0"/>
    <x v="4"/>
    <x v="1"/>
    <n v="8853.5999999999985"/>
    <n v="6324"/>
    <s v="404"/>
  </r>
  <r>
    <x v="2"/>
    <x v="4"/>
    <x v="2"/>
    <x v="4"/>
    <x v="1"/>
    <n v="6421.7999999999993"/>
    <n v="4587"/>
    <s v="405"/>
  </r>
  <r>
    <x v="2"/>
    <x v="4"/>
    <x v="0"/>
    <x v="4"/>
    <x v="1"/>
    <n v="8853.5999999999985"/>
    <n v="6324"/>
    <s v="406"/>
  </r>
  <r>
    <x v="2"/>
    <x v="5"/>
    <x v="0"/>
    <x v="0"/>
    <x v="0"/>
    <n v="7872.2"/>
    <n v="5623"/>
    <s v="407"/>
  </r>
  <r>
    <x v="2"/>
    <x v="5"/>
    <x v="0"/>
    <x v="0"/>
    <x v="0"/>
    <n v="10259.199999999999"/>
    <n v="7328"/>
    <s v="408"/>
  </r>
  <r>
    <x v="2"/>
    <x v="5"/>
    <x v="0"/>
    <x v="0"/>
    <x v="0"/>
    <n v="7872.2"/>
    <n v="5623"/>
    <s v="409"/>
  </r>
  <r>
    <x v="2"/>
    <x v="5"/>
    <x v="0"/>
    <x v="0"/>
    <x v="0"/>
    <n v="10259.199999999999"/>
    <n v="7328"/>
    <s v="410"/>
  </r>
  <r>
    <x v="2"/>
    <x v="5"/>
    <x v="0"/>
    <x v="1"/>
    <x v="1"/>
    <n v="7872.2"/>
    <n v="5623"/>
    <s v="411"/>
  </r>
  <r>
    <x v="2"/>
    <x v="5"/>
    <x v="1"/>
    <x v="1"/>
    <x v="1"/>
    <n v="3637.2"/>
    <n v="2598"/>
    <s v="412"/>
  </r>
  <r>
    <x v="2"/>
    <x v="5"/>
    <x v="0"/>
    <x v="1"/>
    <x v="1"/>
    <n v="7872.2"/>
    <n v="5623"/>
    <s v="413"/>
  </r>
  <r>
    <x v="2"/>
    <x v="5"/>
    <x v="1"/>
    <x v="1"/>
    <x v="1"/>
    <n v="3637.2"/>
    <n v="2598"/>
    <s v="414"/>
  </r>
  <r>
    <x v="2"/>
    <x v="5"/>
    <x v="1"/>
    <x v="2"/>
    <x v="2"/>
    <n v="697.19999999999993"/>
    <n v="498"/>
    <s v="415"/>
  </r>
  <r>
    <x v="2"/>
    <x v="5"/>
    <x v="2"/>
    <x v="2"/>
    <x v="2"/>
    <n v="6421.7999999999993"/>
    <n v="4587"/>
    <s v="416"/>
  </r>
  <r>
    <x v="2"/>
    <x v="5"/>
    <x v="1"/>
    <x v="2"/>
    <x v="2"/>
    <n v="697.19999999999993"/>
    <n v="498"/>
    <s v="417"/>
  </r>
  <r>
    <x v="2"/>
    <x v="5"/>
    <x v="2"/>
    <x v="2"/>
    <x v="2"/>
    <n v="6421.7999999999993"/>
    <n v="4587"/>
    <s v="418"/>
  </r>
  <r>
    <x v="2"/>
    <x v="5"/>
    <x v="1"/>
    <x v="3"/>
    <x v="3"/>
    <n v="3637.2"/>
    <n v="2598"/>
    <s v="419"/>
  </r>
  <r>
    <x v="2"/>
    <x v="5"/>
    <x v="3"/>
    <x v="3"/>
    <x v="3"/>
    <n v="2878.3999999999996"/>
    <n v="2056"/>
    <s v="420"/>
  </r>
  <r>
    <x v="2"/>
    <x v="5"/>
    <x v="1"/>
    <x v="3"/>
    <x v="3"/>
    <n v="3637.2"/>
    <n v="2598"/>
    <s v="421"/>
  </r>
  <r>
    <x v="2"/>
    <x v="5"/>
    <x v="3"/>
    <x v="3"/>
    <x v="3"/>
    <n v="2878.3999999999996"/>
    <n v="2056"/>
    <s v="422"/>
  </r>
  <r>
    <x v="2"/>
    <x v="5"/>
    <x v="2"/>
    <x v="4"/>
    <x v="1"/>
    <n v="11545.8"/>
    <n v="8247"/>
    <s v="423"/>
  </r>
  <r>
    <x v="2"/>
    <x v="5"/>
    <x v="0"/>
    <x v="4"/>
    <x v="1"/>
    <n v="12349.4"/>
    <n v="8821"/>
    <s v="424"/>
  </r>
  <r>
    <x v="2"/>
    <x v="5"/>
    <x v="2"/>
    <x v="4"/>
    <x v="1"/>
    <n v="11545.8"/>
    <n v="8247"/>
    <s v="425"/>
  </r>
  <r>
    <x v="2"/>
    <x v="5"/>
    <x v="0"/>
    <x v="4"/>
    <x v="1"/>
    <n v="12349.4"/>
    <n v="8821"/>
    <s v="426"/>
  </r>
  <r>
    <x v="2"/>
    <x v="6"/>
    <x v="1"/>
    <x v="0"/>
    <x v="0"/>
    <n v="8243.1999999999989"/>
    <n v="5888"/>
    <s v="427"/>
  </r>
  <r>
    <x v="2"/>
    <x v="6"/>
    <x v="0"/>
    <x v="0"/>
    <x v="0"/>
    <n v="12518.8"/>
    <n v="8942"/>
    <s v="428"/>
  </r>
  <r>
    <x v="2"/>
    <x v="6"/>
    <x v="3"/>
    <x v="0"/>
    <x v="0"/>
    <n v="3757.6"/>
    <n v="2684"/>
    <s v="429"/>
  </r>
  <r>
    <x v="2"/>
    <x v="6"/>
    <x v="1"/>
    <x v="0"/>
    <x v="0"/>
    <n v="8243.1999999999989"/>
    <n v="5888"/>
    <s v="430"/>
  </r>
  <r>
    <x v="2"/>
    <x v="6"/>
    <x v="0"/>
    <x v="0"/>
    <x v="0"/>
    <n v="12518.8"/>
    <n v="8942"/>
    <s v="431"/>
  </r>
  <r>
    <x v="2"/>
    <x v="6"/>
    <x v="3"/>
    <x v="0"/>
    <x v="0"/>
    <n v="3757.6"/>
    <n v="2684"/>
    <s v="432"/>
  </r>
  <r>
    <x v="2"/>
    <x v="6"/>
    <x v="1"/>
    <x v="1"/>
    <x v="1"/>
    <n v="8243.1999999999989"/>
    <n v="5888"/>
    <s v="433"/>
  </r>
  <r>
    <x v="2"/>
    <x v="6"/>
    <x v="2"/>
    <x v="1"/>
    <x v="1"/>
    <n v="3311"/>
    <n v="2365"/>
    <s v="434"/>
  </r>
  <r>
    <x v="2"/>
    <x v="6"/>
    <x v="1"/>
    <x v="1"/>
    <x v="1"/>
    <n v="8243.1999999999989"/>
    <n v="5888"/>
    <s v="435"/>
  </r>
  <r>
    <x v="2"/>
    <x v="6"/>
    <x v="2"/>
    <x v="1"/>
    <x v="1"/>
    <n v="3311"/>
    <n v="2365"/>
    <s v="436"/>
  </r>
  <r>
    <x v="2"/>
    <x v="6"/>
    <x v="0"/>
    <x v="2"/>
    <x v="2"/>
    <n v="8853.5999999999985"/>
    <n v="6324"/>
    <s v="437"/>
  </r>
  <r>
    <x v="2"/>
    <x v="6"/>
    <x v="3"/>
    <x v="2"/>
    <x v="2"/>
    <n v="6853"/>
    <n v="4895"/>
    <s v="438"/>
  </r>
  <r>
    <x v="2"/>
    <x v="6"/>
    <x v="0"/>
    <x v="2"/>
    <x v="2"/>
    <n v="8853.5999999999985"/>
    <n v="6324"/>
    <s v="439"/>
  </r>
  <r>
    <x v="2"/>
    <x v="6"/>
    <x v="3"/>
    <x v="2"/>
    <x v="2"/>
    <n v="6853"/>
    <n v="4895"/>
    <s v="440"/>
  </r>
  <r>
    <x v="2"/>
    <x v="6"/>
    <x v="2"/>
    <x v="3"/>
    <x v="3"/>
    <n v="3311"/>
    <n v="2365"/>
    <s v="441"/>
  </r>
  <r>
    <x v="2"/>
    <x v="6"/>
    <x v="0"/>
    <x v="3"/>
    <x v="3"/>
    <n v="3022.6"/>
    <n v="2159"/>
    <s v="442"/>
  </r>
  <r>
    <x v="2"/>
    <x v="6"/>
    <x v="2"/>
    <x v="3"/>
    <x v="3"/>
    <n v="3311"/>
    <n v="2365"/>
    <s v="443"/>
  </r>
  <r>
    <x v="2"/>
    <x v="6"/>
    <x v="0"/>
    <x v="3"/>
    <x v="3"/>
    <n v="3022.6"/>
    <n v="2159"/>
    <s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9C937-0969-4FDB-AD61-E2917A0B4C57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 rowHeaderCaption="Salesperson">
  <location ref="A24:B2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venue" fld="5" baseField="0" baseItem="0" numFmtId="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4FFA3-5052-41BA-B374-7A78BD8353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A44:B4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 numFmtId="8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D9251-D1FE-4899-97D4-10BD97BEC5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Year">
  <location ref="A63:B67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5" baseField="0" baseItem="0" numFmtId="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A3765-8D58-43FD-9A8E-15B3454858D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Month">
  <location ref="A81:B8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5" baseField="0" baseItem="0" numFmtId="8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179FA-54E5-44CD-997A-D2F051BA9C4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Region">
  <location ref="A3:B7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Revenue" fld="5" baseField="0" baseItem="0" numFmtId="8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DE8D-AFD2-438D-8494-97F75E414F0D}">
  <dimension ref="A3:L89"/>
  <sheetViews>
    <sheetView tabSelected="1" workbookViewId="0">
      <selection activeCell="U12" sqref="U12"/>
    </sheetView>
  </sheetViews>
  <sheetFormatPr defaultRowHeight="13.2" x14ac:dyDescent="0.25"/>
  <cols>
    <col min="1" max="1" width="9.33203125" bestFit="1" customWidth="1"/>
    <col min="2" max="2" width="13.44140625" bestFit="1" customWidth="1"/>
    <col min="12" max="12" width="13.44140625" bestFit="1" customWidth="1"/>
  </cols>
  <sheetData>
    <row r="3" spans="1:12" x14ac:dyDescent="0.25">
      <c r="A3" s="3" t="s">
        <v>0</v>
      </c>
      <c r="B3" t="s">
        <v>1</v>
      </c>
      <c r="L3" s="4" t="s">
        <v>27</v>
      </c>
    </row>
    <row r="4" spans="1:12" x14ac:dyDescent="0.25">
      <c r="A4" s="1" t="s">
        <v>2</v>
      </c>
      <c r="B4" s="2">
        <v>1391555.3000000003</v>
      </c>
      <c r="L4" s="5">
        <f>SUM([1]!SaleTable[Sales])</f>
        <v>3254576.9499999983</v>
      </c>
    </row>
    <row r="5" spans="1:12" x14ac:dyDescent="0.25">
      <c r="A5" s="1" t="s">
        <v>3</v>
      </c>
      <c r="B5" s="2">
        <v>760122.80000000028</v>
      </c>
    </row>
    <row r="6" spans="1:12" x14ac:dyDescent="0.25">
      <c r="A6" s="1" t="s">
        <v>4</v>
      </c>
      <c r="B6" s="2">
        <v>505968.94999999995</v>
      </c>
    </row>
    <row r="7" spans="1:12" x14ac:dyDescent="0.25">
      <c r="A7" s="1" t="s">
        <v>5</v>
      </c>
      <c r="B7" s="2">
        <v>596929.89999999991</v>
      </c>
    </row>
    <row r="9" spans="1:12" x14ac:dyDescent="0.25">
      <c r="L9" s="4" t="s">
        <v>28</v>
      </c>
    </row>
    <row r="10" spans="1:12" x14ac:dyDescent="0.25">
      <c r="L10" s="6">
        <f>SUM([1]!SaleTable[Units])</f>
        <v>2322594</v>
      </c>
    </row>
    <row r="15" spans="1:12" x14ac:dyDescent="0.25">
      <c r="L15" s="4" t="s">
        <v>29</v>
      </c>
    </row>
    <row r="16" spans="1:12" x14ac:dyDescent="0.25">
      <c r="L16" s="7">
        <f>COUNTA([1]!SaleTable[Order '#])</f>
        <v>444</v>
      </c>
    </row>
    <row r="24" spans="1:2" x14ac:dyDescent="0.25">
      <c r="A24" s="3" t="s">
        <v>6</v>
      </c>
      <c r="B24" t="s">
        <v>1</v>
      </c>
    </row>
    <row r="25" spans="1:2" x14ac:dyDescent="0.25">
      <c r="A25" s="1" t="s">
        <v>7</v>
      </c>
      <c r="B25" s="2">
        <v>596929.89999999991</v>
      </c>
    </row>
    <row r="26" spans="1:2" x14ac:dyDescent="0.25">
      <c r="A26" s="1" t="s">
        <v>8</v>
      </c>
      <c r="B26" s="2">
        <v>740578.39999999991</v>
      </c>
    </row>
    <row r="27" spans="1:2" x14ac:dyDescent="0.25">
      <c r="A27" s="1" t="s">
        <v>9</v>
      </c>
      <c r="B27" s="2">
        <v>760122.80000000028</v>
      </c>
    </row>
    <row r="28" spans="1:2" x14ac:dyDescent="0.25">
      <c r="A28" s="1" t="s">
        <v>10</v>
      </c>
      <c r="B28" s="2">
        <v>505968.94999999995</v>
      </c>
    </row>
    <row r="29" spans="1:2" x14ac:dyDescent="0.25">
      <c r="A29" s="1" t="s">
        <v>11</v>
      </c>
      <c r="B29" s="2">
        <v>650976.90000000026</v>
      </c>
    </row>
    <row r="44" spans="1:2" x14ac:dyDescent="0.25">
      <c r="A44" s="3" t="s">
        <v>12</v>
      </c>
      <c r="B44" t="s">
        <v>1</v>
      </c>
    </row>
    <row r="45" spans="1:2" x14ac:dyDescent="0.25">
      <c r="A45" s="1" t="s">
        <v>13</v>
      </c>
      <c r="B45" s="2">
        <v>650077.4999999993</v>
      </c>
    </row>
    <row r="46" spans="1:2" x14ac:dyDescent="0.25">
      <c r="A46" s="1" t="s">
        <v>14</v>
      </c>
      <c r="B46" s="2">
        <v>1379573.2000000011</v>
      </c>
    </row>
    <row r="47" spans="1:2" x14ac:dyDescent="0.25">
      <c r="A47" s="1" t="s">
        <v>15</v>
      </c>
      <c r="B47" s="2">
        <v>384812.60000000021</v>
      </c>
    </row>
    <row r="48" spans="1:2" x14ac:dyDescent="0.25">
      <c r="A48" s="1" t="s">
        <v>16</v>
      </c>
      <c r="B48" s="2">
        <v>840113.65000000061</v>
      </c>
    </row>
    <row r="49" spans="1:2" x14ac:dyDescent="0.25">
      <c r="A49" s="1" t="s">
        <v>17</v>
      </c>
      <c r="B49" s="2">
        <v>3254576.9500000011</v>
      </c>
    </row>
    <row r="63" spans="1:2" x14ac:dyDescent="0.25">
      <c r="A63" s="3" t="s">
        <v>18</v>
      </c>
      <c r="B63" t="s">
        <v>1</v>
      </c>
    </row>
    <row r="64" spans="1:2" x14ac:dyDescent="0.25">
      <c r="A64" s="1">
        <v>2013</v>
      </c>
      <c r="B64" s="2">
        <v>1008662.75</v>
      </c>
    </row>
    <row r="65" spans="1:2" x14ac:dyDescent="0.25">
      <c r="A65" s="1">
        <v>2014</v>
      </c>
      <c r="B65" s="2">
        <v>1138686</v>
      </c>
    </row>
    <row r="66" spans="1:2" x14ac:dyDescent="0.25">
      <c r="A66" s="1">
        <v>2015</v>
      </c>
      <c r="B66" s="2">
        <v>1107228.2000000007</v>
      </c>
    </row>
    <row r="67" spans="1:2" x14ac:dyDescent="0.25">
      <c r="A67" s="1" t="s">
        <v>17</v>
      </c>
      <c r="B67" s="2">
        <v>3254576.9500000007</v>
      </c>
    </row>
    <row r="81" spans="1:2" x14ac:dyDescent="0.25">
      <c r="A81" s="3" t="s">
        <v>19</v>
      </c>
      <c r="B81" t="s">
        <v>1</v>
      </c>
    </row>
    <row r="82" spans="1:2" x14ac:dyDescent="0.25">
      <c r="A82" s="1" t="s">
        <v>20</v>
      </c>
      <c r="B82" s="2">
        <v>513336</v>
      </c>
    </row>
    <row r="83" spans="1:2" x14ac:dyDescent="0.25">
      <c r="A83" s="1" t="s">
        <v>21</v>
      </c>
      <c r="B83" s="2">
        <v>521344.75</v>
      </c>
    </row>
    <row r="84" spans="1:2" x14ac:dyDescent="0.25">
      <c r="A84" s="1" t="s">
        <v>22</v>
      </c>
      <c r="B84" s="2">
        <v>423204.69999999995</v>
      </c>
    </row>
    <row r="85" spans="1:2" x14ac:dyDescent="0.25">
      <c r="A85" s="1" t="s">
        <v>23</v>
      </c>
      <c r="B85" s="2">
        <v>640494.40000000014</v>
      </c>
    </row>
    <row r="86" spans="1:2" x14ac:dyDescent="0.25">
      <c r="A86" s="1" t="s">
        <v>24</v>
      </c>
      <c r="B86" s="2">
        <v>428512.39999999991</v>
      </c>
    </row>
    <row r="87" spans="1:2" x14ac:dyDescent="0.25">
      <c r="A87" s="1" t="s">
        <v>25</v>
      </c>
      <c r="B87" s="2">
        <v>383151.70000000019</v>
      </c>
    </row>
    <row r="88" spans="1:2" x14ac:dyDescent="0.25">
      <c r="A88" s="1" t="s">
        <v>26</v>
      </c>
      <c r="B88" s="2">
        <v>344532.99999999994</v>
      </c>
    </row>
    <row r="89" spans="1:2" x14ac:dyDescent="0.25">
      <c r="A89" s="1" t="s">
        <v>17</v>
      </c>
      <c r="B89" s="2">
        <v>3254576.95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PETROLINA ALUMONA</dc:creator>
  <cp:lastModifiedBy>PETROLINA ALUMONA</cp:lastModifiedBy>
  <dcterms:created xsi:type="dcterms:W3CDTF">2026-10-03T11:28:26Z</dcterms:created>
  <dcterms:modified xsi:type="dcterms:W3CDTF">2026-10-09T16:19:42Z</dcterms:modified>
</cp:coreProperties>
</file>